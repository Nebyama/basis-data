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D8556B-093B-434E-A3F9-ECBE16553379}" xr6:coauthVersionLast="36" xr6:coauthVersionMax="36" xr10:uidLastSave="{00000000-0000-0000-0000-000000000000}"/>
  <bookViews>
    <workbookView xWindow="0" yWindow="0" windowWidth="20490" windowHeight="7425" tabRatio="655" activeTab="5" xr2:uid="{00000000-000D-0000-FFFF-FFFF00000000}"/>
  </bookViews>
  <sheets>
    <sheet name="Bobot Kriteria" sheetId="1" r:id="rId1"/>
    <sheet name="Nilai Alternatif" sheetId="2" r:id="rId2"/>
    <sheet name="Besson Rank" sheetId="3" r:id="rId3"/>
    <sheet name="Normalisasi" sheetId="4" r:id="rId4"/>
    <sheet name="Distance Score" sheetId="5" r:id="rId5"/>
    <sheet name="Perankingan Akhir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5" l="1"/>
  <c r="I6" i="5"/>
  <c r="I7" i="5"/>
  <c r="I8" i="5"/>
  <c r="I9" i="5"/>
  <c r="I10" i="5"/>
  <c r="C9" i="1" l="1"/>
</calcChain>
</file>

<file path=xl/sharedStrings.xml><?xml version="1.0" encoding="utf-8"?>
<sst xmlns="http://schemas.openxmlformats.org/spreadsheetml/2006/main" count="438" uniqueCount="84">
  <si>
    <t>Dampak Penggunaan Internet Intensif terhadap Kesehatan Mental Remaja</t>
  </si>
  <si>
    <t>Tabel : Nilai Bobot Kriteria Metode ORESTE</t>
  </si>
  <si>
    <t>No</t>
  </si>
  <si>
    <t>Nama Kriteria</t>
  </si>
  <si>
    <t>Nilai Bobot (Wi)</t>
  </si>
  <si>
    <t>Rank Bobot</t>
  </si>
  <si>
    <t>Durasi Penggunaan Internet (C1)</t>
  </si>
  <si>
    <t>Kondisi Mental (C2)</t>
  </si>
  <si>
    <t>Kualitas Tidur (C3)</t>
  </si>
  <si>
    <t>Interaksi Sosial (C4)</t>
  </si>
  <si>
    <t>Kesadaran Diri (C5)</t>
  </si>
  <si>
    <t>Total</t>
  </si>
  <si>
    <t>Tabel : Penilaian Dari Setiap Alternatif (Skala 1–100)</t>
  </si>
  <si>
    <t>Nama Alternatif</t>
  </si>
  <si>
    <t>C1</t>
  </si>
  <si>
    <t>C2</t>
  </si>
  <si>
    <t>C3</t>
  </si>
  <si>
    <t>C4</t>
  </si>
  <si>
    <t>C5</t>
  </si>
  <si>
    <t>Remaja 1</t>
  </si>
  <si>
    <t>Remaja 2</t>
  </si>
  <si>
    <t>Remaja 3</t>
  </si>
  <si>
    <t>Remaja 4</t>
  </si>
  <si>
    <t>Remaja 5</t>
  </si>
  <si>
    <t>Remaja 6</t>
  </si>
  <si>
    <t>Remaja 7</t>
  </si>
  <si>
    <t>Remaja 8</t>
  </si>
  <si>
    <t>Remaja 9</t>
  </si>
  <si>
    <t>Remaja 10</t>
  </si>
  <si>
    <t>Remaja 11</t>
  </si>
  <si>
    <t>Remaja 12</t>
  </si>
  <si>
    <t>Remaja 13</t>
  </si>
  <si>
    <t>Remaja 14</t>
  </si>
  <si>
    <t>Remaja 15</t>
  </si>
  <si>
    <t>Remaja 16</t>
  </si>
  <si>
    <t>Remaja 17</t>
  </si>
  <si>
    <t>Remaja 18</t>
  </si>
  <si>
    <t>Remaja 19</t>
  </si>
  <si>
    <t>Remaja 20</t>
  </si>
  <si>
    <t>Remaja 21</t>
  </si>
  <si>
    <t>Remaja 22</t>
  </si>
  <si>
    <t>Remaja 23</t>
  </si>
  <si>
    <t>Remaja 24</t>
  </si>
  <si>
    <t>Remaja 25</t>
  </si>
  <si>
    <t>Remaja 26</t>
  </si>
  <si>
    <t>Remaja 27</t>
  </si>
  <si>
    <t>Remaja 28</t>
  </si>
  <si>
    <t>Remaja 29</t>
  </si>
  <si>
    <t>Remaja 30</t>
  </si>
  <si>
    <t>Remaja 31</t>
  </si>
  <si>
    <t>Remaja 32</t>
  </si>
  <si>
    <t>Remaja 33</t>
  </si>
  <si>
    <t>Remaja 34</t>
  </si>
  <si>
    <t>Remaja 35</t>
  </si>
  <si>
    <t>Remaja 36</t>
  </si>
  <si>
    <t>Remaja 37</t>
  </si>
  <si>
    <t>Remaja 38</t>
  </si>
  <si>
    <t>Remaja 39</t>
  </si>
  <si>
    <t>Remaja 40</t>
  </si>
  <si>
    <t>Tabel : Nilai Besson Rank Per Kriteria</t>
  </si>
  <si>
    <t>Tabel : Besson Rank – C1 (Durasi)</t>
  </si>
  <si>
    <t>Nilai</t>
  </si>
  <si>
    <t>Besson Rank</t>
  </si>
  <si>
    <t>Norm (r/40)</t>
  </si>
  <si>
    <t>Tabel : Besson Rank – C2 (Mental)</t>
  </si>
  <si>
    <t>Tabel : Besson Rank – C3 (Tidur)</t>
  </si>
  <si>
    <t>Tabel : Besson Rank – C4 (Sosial)</t>
  </si>
  <si>
    <t>Tabel : Besson Rank – C5 (Kesadaran)</t>
  </si>
  <si>
    <t>Tabel : Nilai Normalisasi Bobot Besson Rank</t>
  </si>
  <si>
    <t>Tabel : Distance Score D(a,c) per Alternatif</t>
  </si>
  <si>
    <t>Formula: D(a,c) = √(rc² + rc(a)²) × √3  |  rc = Rank Bobot Kriteria  |  rc(a) = Besson Rank Alternatif</t>
  </si>
  <si>
    <t>D(a,C1)</t>
  </si>
  <si>
    <t>D(a,C2)</t>
  </si>
  <si>
    <t>D(a,C3)</t>
  </si>
  <si>
    <t>D(a,C4)</t>
  </si>
  <si>
    <t>D(a,C5)</t>
  </si>
  <si>
    <t>Akumulasi</t>
  </si>
  <si>
    <t>Tabel : Perankingan Akhir Metode ORESTE (40 Alternatif)</t>
  </si>
  <si>
    <t>Ranking</t>
  </si>
  <si>
    <t>Akumulasi Distance Score</t>
  </si>
  <si>
    <t>Keterangan</t>
  </si>
  <si>
    <t>Dampak Paling Berat</t>
  </si>
  <si>
    <t>Dampak Paling Ringan</t>
  </si>
  <si>
    <t>Keterangan: Semakin kecil nilai Akumulasi Distance Score → dampak penggunaan internet semakin berat → ranking semakin tinggi.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</si>
</sst>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AF1"/>
        <bgColor rgb="FFE2EFDA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BDD7EE"/>
      </patternFill>
    </fill>
    <fill>
      <patternFill patternType="solid">
        <fgColor rgb="FFCD7F32"/>
        <bgColor rgb="FFFF8080"/>
      </patternFill>
    </fill>
    <fill>
      <patternFill patternType="solid">
        <fgColor rgb="FFE2EFDA"/>
        <bgColor rgb="FFDEEAF1"/>
      </patternFill>
    </fill>
    <fill>
      <patternFill patternType="solid">
        <fgColor theme="9" tint="-0.249977111117893"/>
        <bgColor rgb="FF003366"/>
      </patternFill>
    </fill>
    <fill>
      <patternFill patternType="solid">
        <fgColor theme="9" tint="-0.249977111117893"/>
        <bgColor rgb="FF0066CC"/>
      </patternFill>
    </fill>
    <fill>
      <patternFill patternType="solid">
        <fgColor theme="9" tint="0.39997558519241921"/>
        <bgColor rgb="FF0066CC"/>
      </patternFill>
    </fill>
    <fill>
      <patternFill patternType="solid">
        <fgColor theme="9" tint="0.39997558519241921"/>
        <bgColor rgb="FF99CC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166" fontId="4" fillId="3" borderId="2" xfId="0" applyNumberFormat="1" applyFont="1" applyFill="1" applyBorder="1" applyAlignment="1">
      <alignment horizontal="center" vertical="center" wrapText="1"/>
    </xf>
    <xf numFmtId="166" fontId="5" fillId="3" borderId="2" xfId="0" applyNumberFormat="1" applyFont="1" applyFill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66" fontId="5" fillId="6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166" fontId="4" fillId="7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5" fillId="11" borderId="2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0" fillId="12" borderId="0" xfId="0" applyFill="1"/>
    <xf numFmtId="0" fontId="0" fillId="13" borderId="0" xfId="0" applyFill="1"/>
    <xf numFmtId="0" fontId="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165" fontId="4" fillId="14" borderId="2" xfId="0" applyNumberFormat="1" applyFont="1" applyFill="1" applyBorder="1" applyAlignment="1">
      <alignment horizontal="center" vertical="center" wrapText="1"/>
    </xf>
    <xf numFmtId="0" fontId="0" fillId="0" borderId="0" xfId="0" applyFill="1"/>
    <xf numFmtId="166" fontId="0" fillId="0" borderId="0" xfId="0" applyNumberFormat="1"/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9900"/>
      <rgbColor rgb="FFCD7F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zoomScaleNormal="100" workbookViewId="0">
      <selection activeCell="G5" sqref="G5"/>
    </sheetView>
  </sheetViews>
  <sheetFormatPr defaultColWidth="8.7109375" defaultRowHeight="15" x14ac:dyDescent="0.25"/>
  <cols>
    <col min="1" max="1" width="6" customWidth="1"/>
    <col min="2" max="2" width="32" customWidth="1"/>
    <col min="3" max="3" width="32.140625" customWidth="1"/>
    <col min="4" max="4" width="14" customWidth="1"/>
  </cols>
  <sheetData>
    <row r="1" spans="1:7" ht="30" customHeight="1" x14ac:dyDescent="0.25">
      <c r="A1" s="37" t="s">
        <v>0</v>
      </c>
      <c r="B1" s="37"/>
      <c r="C1" s="37"/>
      <c r="D1" s="37"/>
      <c r="E1" s="35"/>
      <c r="F1" s="35"/>
      <c r="G1" s="35"/>
    </row>
    <row r="2" spans="1:7" ht="15" customHeight="1" x14ac:dyDescent="0.25">
      <c r="A2" s="38" t="s">
        <v>1</v>
      </c>
      <c r="B2" s="38"/>
      <c r="C2" s="38"/>
      <c r="D2" s="38"/>
      <c r="E2" s="35"/>
      <c r="F2" s="35"/>
      <c r="G2" s="35"/>
    </row>
    <row r="3" spans="1:7" x14ac:dyDescent="0.25">
      <c r="A3" s="27" t="s">
        <v>2</v>
      </c>
      <c r="B3" s="27" t="s">
        <v>3</v>
      </c>
      <c r="C3" s="27" t="s">
        <v>4</v>
      </c>
      <c r="D3" s="27" t="s">
        <v>5</v>
      </c>
      <c r="E3" s="35"/>
      <c r="F3" s="35"/>
      <c r="G3" s="35"/>
    </row>
    <row r="4" spans="1:7" x14ac:dyDescent="0.25">
      <c r="A4" s="1">
        <v>1</v>
      </c>
      <c r="B4" s="2" t="s">
        <v>6</v>
      </c>
      <c r="C4" s="3">
        <v>0.3</v>
      </c>
      <c r="D4" s="1">
        <v>1</v>
      </c>
    </row>
    <row r="5" spans="1:7" x14ac:dyDescent="0.25">
      <c r="A5" s="4">
        <v>2</v>
      </c>
      <c r="B5" s="5" t="s">
        <v>7</v>
      </c>
      <c r="C5" s="6">
        <v>0.25</v>
      </c>
      <c r="D5" s="4">
        <v>2</v>
      </c>
    </row>
    <row r="6" spans="1:7" x14ac:dyDescent="0.25">
      <c r="A6" s="1">
        <v>3</v>
      </c>
      <c r="B6" s="2" t="s">
        <v>8</v>
      </c>
      <c r="C6" s="3">
        <v>0.2</v>
      </c>
      <c r="D6" s="1">
        <v>3</v>
      </c>
    </row>
    <row r="7" spans="1:7" x14ac:dyDescent="0.25">
      <c r="A7" s="4">
        <v>4</v>
      </c>
      <c r="B7" s="5" t="s">
        <v>9</v>
      </c>
      <c r="C7" s="6">
        <v>0.15</v>
      </c>
      <c r="D7" s="4">
        <v>4</v>
      </c>
    </row>
    <row r="8" spans="1:7" x14ac:dyDescent="0.25">
      <c r="A8" s="1">
        <v>5</v>
      </c>
      <c r="B8" s="2" t="s">
        <v>10</v>
      </c>
      <c r="C8" s="3">
        <v>0.1</v>
      </c>
      <c r="D8" s="1">
        <v>5</v>
      </c>
    </row>
    <row r="9" spans="1:7" ht="15" customHeight="1" x14ac:dyDescent="0.25">
      <c r="A9" s="39" t="s">
        <v>11</v>
      </c>
      <c r="B9" s="39"/>
      <c r="C9" s="28">
        <f>SUM(C4:C8)</f>
        <v>1</v>
      </c>
      <c r="D9" s="29"/>
    </row>
    <row r="45" spans="1:5" x14ac:dyDescent="0.25">
      <c r="A45" s="30"/>
      <c r="B45" s="30"/>
      <c r="C45" s="30"/>
      <c r="D45" s="30"/>
      <c r="E45" s="30"/>
    </row>
    <row r="46" spans="1:5" x14ac:dyDescent="0.25">
      <c r="A46" s="31"/>
      <c r="B46" s="31"/>
      <c r="C46" s="31"/>
      <c r="D46" s="31"/>
      <c r="E46" s="31"/>
    </row>
    <row r="88" spans="1:5" x14ac:dyDescent="0.25">
      <c r="A88" s="30"/>
      <c r="B88" s="30"/>
      <c r="C88" s="30"/>
      <c r="D88" s="30"/>
      <c r="E88" s="30"/>
    </row>
    <row r="89" spans="1:5" x14ac:dyDescent="0.25">
      <c r="A89" s="31"/>
      <c r="B89" s="31"/>
      <c r="C89" s="31"/>
      <c r="D89" s="31"/>
      <c r="E89" s="31"/>
    </row>
    <row r="131" spans="1:5" x14ac:dyDescent="0.25">
      <c r="A131" s="30"/>
      <c r="B131" s="30"/>
      <c r="C131" s="30"/>
      <c r="D131" s="30"/>
      <c r="E131" s="30"/>
    </row>
    <row r="132" spans="1:5" x14ac:dyDescent="0.25">
      <c r="A132" s="31"/>
      <c r="B132" s="31"/>
      <c r="C132" s="31"/>
      <c r="D132" s="31"/>
      <c r="E132" s="31"/>
    </row>
    <row r="174" spans="1:5" x14ac:dyDescent="0.25">
      <c r="A174" s="30"/>
      <c r="B174" s="30"/>
      <c r="C174" s="30"/>
      <c r="D174" s="30"/>
      <c r="E174" s="30"/>
    </row>
    <row r="175" spans="1:5" x14ac:dyDescent="0.25">
      <c r="A175" s="31"/>
      <c r="B175" s="31"/>
      <c r="C175" s="31"/>
      <c r="D175" s="31"/>
      <c r="E175" s="31"/>
    </row>
  </sheetData>
  <mergeCells count="3">
    <mergeCell ref="A1:D1"/>
    <mergeCell ref="A2:D2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5"/>
  <sheetViews>
    <sheetView zoomScaleNormal="100" workbookViewId="0">
      <selection activeCell="I29" sqref="I29"/>
    </sheetView>
  </sheetViews>
  <sheetFormatPr defaultColWidth="8.7109375" defaultRowHeight="15" x14ac:dyDescent="0.25"/>
  <cols>
    <col min="1" max="1" width="6" customWidth="1"/>
    <col min="2" max="2" width="16" customWidth="1"/>
    <col min="3" max="7" width="14" customWidth="1"/>
  </cols>
  <sheetData>
    <row r="1" spans="1:7" ht="30" customHeight="1" x14ac:dyDescent="0.25">
      <c r="A1" s="40" t="s">
        <v>0</v>
      </c>
      <c r="B1" s="40"/>
      <c r="C1" s="40"/>
      <c r="D1" s="40"/>
      <c r="E1" s="40"/>
      <c r="F1" s="40"/>
      <c r="G1" s="40"/>
    </row>
    <row r="2" spans="1:7" ht="15" customHeight="1" x14ac:dyDescent="0.25">
      <c r="A2" s="41" t="s">
        <v>12</v>
      </c>
      <c r="B2" s="41"/>
      <c r="C2" s="41"/>
      <c r="D2" s="41"/>
      <c r="E2" s="41"/>
      <c r="F2" s="41"/>
      <c r="G2" s="41"/>
    </row>
    <row r="3" spans="1:7" x14ac:dyDescent="0.25">
      <c r="A3" s="27" t="s">
        <v>2</v>
      </c>
      <c r="B3" s="27" t="s">
        <v>13</v>
      </c>
      <c r="C3" s="27" t="s">
        <v>14</v>
      </c>
      <c r="D3" s="27" t="s">
        <v>15</v>
      </c>
      <c r="E3" s="27" t="s">
        <v>16</v>
      </c>
      <c r="F3" s="27" t="s">
        <v>17</v>
      </c>
      <c r="G3" s="27" t="s">
        <v>18</v>
      </c>
    </row>
    <row r="4" spans="1:7" x14ac:dyDescent="0.25">
      <c r="A4" s="4">
        <v>1</v>
      </c>
      <c r="B4" s="5" t="s">
        <v>19</v>
      </c>
      <c r="C4" s="4">
        <v>95</v>
      </c>
      <c r="D4" s="4">
        <v>57</v>
      </c>
      <c r="E4" s="4">
        <v>46</v>
      </c>
      <c r="F4" s="4">
        <v>87</v>
      </c>
      <c r="G4" s="4">
        <v>47</v>
      </c>
    </row>
    <row r="5" spans="1:7" x14ac:dyDescent="0.25">
      <c r="A5" s="1">
        <v>2</v>
      </c>
      <c r="B5" s="2" t="s">
        <v>20</v>
      </c>
      <c r="C5" s="1">
        <v>70</v>
      </c>
      <c r="D5" s="1">
        <v>64</v>
      </c>
      <c r="E5" s="1">
        <v>53</v>
      </c>
      <c r="F5" s="1">
        <v>87</v>
      </c>
      <c r="G5" s="1">
        <v>36</v>
      </c>
    </row>
    <row r="6" spans="1:7" x14ac:dyDescent="0.25">
      <c r="A6" s="4">
        <v>3</v>
      </c>
      <c r="B6" s="5" t="s">
        <v>21</v>
      </c>
      <c r="C6" s="4">
        <v>98</v>
      </c>
      <c r="D6" s="4">
        <v>84</v>
      </c>
      <c r="E6" s="4">
        <v>50</v>
      </c>
      <c r="F6" s="4">
        <v>77</v>
      </c>
      <c r="G6" s="4">
        <v>57</v>
      </c>
    </row>
    <row r="7" spans="1:7" x14ac:dyDescent="0.25">
      <c r="A7" s="1">
        <v>4</v>
      </c>
      <c r="B7" s="2" t="s">
        <v>22</v>
      </c>
      <c r="C7" s="1">
        <v>57</v>
      </c>
      <c r="D7" s="1">
        <v>51</v>
      </c>
      <c r="E7" s="1">
        <v>50</v>
      </c>
      <c r="F7" s="1">
        <v>53</v>
      </c>
      <c r="G7" s="1">
        <v>44</v>
      </c>
    </row>
    <row r="8" spans="1:7" x14ac:dyDescent="0.25">
      <c r="A8" s="4">
        <v>5</v>
      </c>
      <c r="B8" s="5" t="s">
        <v>23</v>
      </c>
      <c r="C8" s="4">
        <v>87</v>
      </c>
      <c r="D8" s="4">
        <v>88</v>
      </c>
      <c r="E8" s="4">
        <v>46</v>
      </c>
      <c r="F8" s="4">
        <v>75</v>
      </c>
      <c r="G8" s="4">
        <v>42</v>
      </c>
    </row>
    <row r="9" spans="1:7" x14ac:dyDescent="0.25">
      <c r="A9" s="1">
        <v>6</v>
      </c>
      <c r="B9" s="2" t="s">
        <v>24</v>
      </c>
      <c r="C9" s="1">
        <v>96</v>
      </c>
      <c r="D9" s="1">
        <v>94</v>
      </c>
      <c r="E9" s="1">
        <v>79</v>
      </c>
      <c r="F9" s="1">
        <v>66</v>
      </c>
      <c r="G9" s="1">
        <v>44</v>
      </c>
    </row>
    <row r="10" spans="1:7" x14ac:dyDescent="0.25">
      <c r="A10" s="4">
        <v>7</v>
      </c>
      <c r="B10" s="5" t="s">
        <v>25</v>
      </c>
      <c r="C10" s="4">
        <v>83</v>
      </c>
      <c r="D10" s="4">
        <v>87</v>
      </c>
      <c r="E10" s="4">
        <v>62</v>
      </c>
      <c r="F10" s="4">
        <v>40</v>
      </c>
      <c r="G10" s="4">
        <v>78</v>
      </c>
    </row>
    <row r="11" spans="1:7" x14ac:dyDescent="0.25">
      <c r="A11" s="1">
        <v>8</v>
      </c>
      <c r="B11" s="2" t="s">
        <v>26</v>
      </c>
      <c r="C11" s="1">
        <v>65</v>
      </c>
      <c r="D11" s="1">
        <v>94</v>
      </c>
      <c r="E11" s="1">
        <v>72</v>
      </c>
      <c r="F11" s="1">
        <v>61</v>
      </c>
      <c r="G11" s="1">
        <v>47</v>
      </c>
    </row>
    <row r="12" spans="1:7" x14ac:dyDescent="0.25">
      <c r="A12" s="4">
        <v>9</v>
      </c>
      <c r="B12" s="5" t="s">
        <v>27</v>
      </c>
      <c r="C12" s="4">
        <v>64</v>
      </c>
      <c r="D12" s="4">
        <v>63</v>
      </c>
      <c r="E12" s="4">
        <v>93</v>
      </c>
      <c r="F12" s="4">
        <v>61</v>
      </c>
      <c r="G12" s="4">
        <v>36</v>
      </c>
    </row>
    <row r="13" spans="1:7" x14ac:dyDescent="0.25">
      <c r="A13" s="1">
        <v>10</v>
      </c>
      <c r="B13" s="2" t="s">
        <v>28</v>
      </c>
      <c r="C13" s="1">
        <v>60</v>
      </c>
      <c r="D13" s="1">
        <v>74</v>
      </c>
      <c r="E13" s="1">
        <v>51</v>
      </c>
      <c r="F13" s="1">
        <v>62</v>
      </c>
      <c r="G13" s="1">
        <v>84</v>
      </c>
    </row>
    <row r="14" spans="1:7" x14ac:dyDescent="0.25">
      <c r="A14" s="4">
        <v>11</v>
      </c>
      <c r="B14" s="5" t="s">
        <v>29</v>
      </c>
      <c r="C14" s="4">
        <v>77</v>
      </c>
      <c r="D14" s="4">
        <v>88</v>
      </c>
      <c r="E14" s="4">
        <v>61</v>
      </c>
      <c r="F14" s="4">
        <v>42</v>
      </c>
      <c r="G14" s="4">
        <v>76</v>
      </c>
    </row>
    <row r="15" spans="1:7" x14ac:dyDescent="0.25">
      <c r="A15" s="1">
        <v>12</v>
      </c>
      <c r="B15" s="2" t="s">
        <v>30</v>
      </c>
      <c r="C15" s="1">
        <v>84</v>
      </c>
      <c r="D15" s="1">
        <v>84</v>
      </c>
      <c r="E15" s="1">
        <v>52</v>
      </c>
      <c r="F15" s="1">
        <v>64</v>
      </c>
      <c r="G15" s="1">
        <v>35</v>
      </c>
    </row>
    <row r="16" spans="1:7" x14ac:dyDescent="0.25">
      <c r="A16" s="4">
        <v>13</v>
      </c>
      <c r="B16" s="5" t="s">
        <v>31</v>
      </c>
      <c r="C16" s="4">
        <v>90</v>
      </c>
      <c r="D16" s="4">
        <v>68</v>
      </c>
      <c r="E16" s="4">
        <v>85</v>
      </c>
      <c r="F16" s="4">
        <v>79</v>
      </c>
      <c r="G16" s="4">
        <v>85</v>
      </c>
    </row>
    <row r="17" spans="1:7" x14ac:dyDescent="0.25">
      <c r="A17" s="1">
        <v>14</v>
      </c>
      <c r="B17" s="2" t="s">
        <v>32</v>
      </c>
      <c r="C17" s="1">
        <v>78</v>
      </c>
      <c r="D17" s="1">
        <v>86</v>
      </c>
      <c r="E17" s="1">
        <v>57</v>
      </c>
      <c r="F17" s="1">
        <v>85</v>
      </c>
      <c r="G17" s="1">
        <v>34</v>
      </c>
    </row>
    <row r="18" spans="1:7" x14ac:dyDescent="0.25">
      <c r="A18" s="4">
        <v>15</v>
      </c>
      <c r="B18" s="5" t="s">
        <v>33</v>
      </c>
      <c r="C18" s="4">
        <v>57</v>
      </c>
      <c r="D18" s="4">
        <v>92</v>
      </c>
      <c r="E18" s="4">
        <v>59</v>
      </c>
      <c r="F18" s="4">
        <v>89</v>
      </c>
      <c r="G18" s="4">
        <v>48</v>
      </c>
    </row>
    <row r="19" spans="1:7" x14ac:dyDescent="0.25">
      <c r="A19" s="1">
        <v>16</v>
      </c>
      <c r="B19" s="2" t="s">
        <v>34</v>
      </c>
      <c r="C19" s="1">
        <v>60</v>
      </c>
      <c r="D19" s="1">
        <v>64</v>
      </c>
      <c r="E19" s="1">
        <v>51</v>
      </c>
      <c r="F19" s="1">
        <v>64</v>
      </c>
      <c r="G19" s="1">
        <v>47</v>
      </c>
    </row>
    <row r="20" spans="1:7" x14ac:dyDescent="0.25">
      <c r="A20" s="4">
        <v>17</v>
      </c>
      <c r="B20" s="5" t="s">
        <v>35</v>
      </c>
      <c r="C20" s="4">
        <v>84</v>
      </c>
      <c r="D20" s="4">
        <v>90</v>
      </c>
      <c r="E20" s="4">
        <v>68</v>
      </c>
      <c r="F20" s="4">
        <v>50</v>
      </c>
      <c r="G20" s="4">
        <v>53</v>
      </c>
    </row>
    <row r="21" spans="1:7" x14ac:dyDescent="0.25">
      <c r="A21" s="1">
        <v>18</v>
      </c>
      <c r="B21" s="2" t="s">
        <v>36</v>
      </c>
      <c r="C21" s="1">
        <v>77</v>
      </c>
      <c r="D21" s="1">
        <v>63</v>
      </c>
      <c r="E21" s="1">
        <v>87</v>
      </c>
      <c r="F21" s="1">
        <v>57</v>
      </c>
      <c r="G21" s="1">
        <v>74</v>
      </c>
    </row>
    <row r="22" spans="1:7" x14ac:dyDescent="0.25">
      <c r="A22" s="4">
        <v>19</v>
      </c>
      <c r="B22" s="5" t="s">
        <v>37</v>
      </c>
      <c r="C22" s="4">
        <v>98</v>
      </c>
      <c r="D22" s="4">
        <v>91</v>
      </c>
      <c r="E22" s="4">
        <v>49</v>
      </c>
      <c r="F22" s="4">
        <v>78</v>
      </c>
      <c r="G22" s="4">
        <v>70</v>
      </c>
    </row>
    <row r="23" spans="1:7" x14ac:dyDescent="0.25">
      <c r="A23" s="1">
        <v>20</v>
      </c>
      <c r="B23" s="2" t="s">
        <v>38</v>
      </c>
      <c r="C23" s="1">
        <v>65</v>
      </c>
      <c r="D23" s="1">
        <v>84</v>
      </c>
      <c r="E23" s="1">
        <v>91</v>
      </c>
      <c r="F23" s="1">
        <v>55</v>
      </c>
      <c r="G23" s="1">
        <v>40</v>
      </c>
    </row>
    <row r="24" spans="1:7" x14ac:dyDescent="0.25">
      <c r="A24" s="4">
        <v>21</v>
      </c>
      <c r="B24" s="5" t="s">
        <v>39</v>
      </c>
      <c r="C24" s="4">
        <v>84</v>
      </c>
      <c r="D24" s="4">
        <v>74</v>
      </c>
      <c r="E24" s="4">
        <v>62</v>
      </c>
      <c r="F24" s="4">
        <v>80</v>
      </c>
      <c r="G24" s="4">
        <v>74</v>
      </c>
    </row>
    <row r="25" spans="1:7" x14ac:dyDescent="0.25">
      <c r="A25" s="1">
        <v>22</v>
      </c>
      <c r="B25" s="2" t="s">
        <v>40</v>
      </c>
      <c r="C25" s="1">
        <v>90</v>
      </c>
      <c r="D25" s="1">
        <v>64</v>
      </c>
      <c r="E25" s="1">
        <v>88</v>
      </c>
      <c r="F25" s="1">
        <v>60</v>
      </c>
      <c r="G25" s="1">
        <v>83</v>
      </c>
    </row>
    <row r="26" spans="1:7" x14ac:dyDescent="0.25">
      <c r="A26" s="4">
        <v>23</v>
      </c>
      <c r="B26" s="5" t="s">
        <v>41</v>
      </c>
      <c r="C26" s="4">
        <v>58</v>
      </c>
      <c r="D26" s="4">
        <v>64</v>
      </c>
      <c r="E26" s="4">
        <v>47</v>
      </c>
      <c r="F26" s="4">
        <v>60</v>
      </c>
      <c r="G26" s="4">
        <v>55</v>
      </c>
    </row>
    <row r="27" spans="1:7" x14ac:dyDescent="0.25">
      <c r="A27" s="1">
        <v>24</v>
      </c>
      <c r="B27" s="2" t="s">
        <v>42</v>
      </c>
      <c r="C27" s="1">
        <v>72</v>
      </c>
      <c r="D27" s="1">
        <v>54</v>
      </c>
      <c r="E27" s="1">
        <v>58</v>
      </c>
      <c r="F27" s="1">
        <v>76</v>
      </c>
      <c r="G27" s="1">
        <v>75</v>
      </c>
    </row>
    <row r="28" spans="1:7" x14ac:dyDescent="0.25">
      <c r="A28" s="4">
        <v>25</v>
      </c>
      <c r="B28" s="5" t="s">
        <v>43</v>
      </c>
      <c r="C28" s="4">
        <v>75</v>
      </c>
      <c r="D28" s="4">
        <v>63</v>
      </c>
      <c r="E28" s="4">
        <v>86</v>
      </c>
      <c r="F28" s="4">
        <v>71</v>
      </c>
      <c r="G28" s="4">
        <v>55</v>
      </c>
    </row>
    <row r="29" spans="1:7" x14ac:dyDescent="0.25">
      <c r="A29" s="1">
        <v>26</v>
      </c>
      <c r="B29" s="2" t="s">
        <v>44</v>
      </c>
      <c r="C29" s="1">
        <v>96</v>
      </c>
      <c r="D29" s="1">
        <v>79</v>
      </c>
      <c r="E29" s="1">
        <v>54</v>
      </c>
      <c r="F29" s="1">
        <v>56</v>
      </c>
      <c r="G29" s="1">
        <v>38</v>
      </c>
    </row>
    <row r="30" spans="1:7" x14ac:dyDescent="0.25">
      <c r="A30" s="4">
        <v>27</v>
      </c>
      <c r="B30" s="5" t="s">
        <v>45</v>
      </c>
      <c r="C30" s="4">
        <v>70</v>
      </c>
      <c r="D30" s="4">
        <v>85</v>
      </c>
      <c r="E30" s="4">
        <v>79</v>
      </c>
      <c r="F30" s="4">
        <v>56</v>
      </c>
      <c r="G30" s="4">
        <v>77</v>
      </c>
    </row>
    <row r="31" spans="1:7" x14ac:dyDescent="0.25">
      <c r="A31" s="1">
        <v>28</v>
      </c>
      <c r="B31" s="2" t="s">
        <v>46</v>
      </c>
      <c r="C31" s="1">
        <v>92</v>
      </c>
      <c r="D31" s="1">
        <v>77</v>
      </c>
      <c r="E31" s="1">
        <v>82</v>
      </c>
      <c r="F31" s="1">
        <v>65</v>
      </c>
      <c r="G31" s="1">
        <v>53</v>
      </c>
    </row>
    <row r="32" spans="1:7" x14ac:dyDescent="0.25">
      <c r="A32" s="4">
        <v>29</v>
      </c>
      <c r="B32" s="5" t="s">
        <v>47</v>
      </c>
      <c r="C32" s="4">
        <v>69</v>
      </c>
      <c r="D32" s="4">
        <v>58</v>
      </c>
      <c r="E32" s="4">
        <v>77</v>
      </c>
      <c r="F32" s="4">
        <v>71</v>
      </c>
      <c r="G32" s="4">
        <v>35</v>
      </c>
    </row>
    <row r="33" spans="1:7" x14ac:dyDescent="0.25">
      <c r="A33" s="1">
        <v>30</v>
      </c>
      <c r="B33" s="2" t="s">
        <v>48</v>
      </c>
      <c r="C33" s="1">
        <v>58</v>
      </c>
      <c r="D33" s="1">
        <v>57</v>
      </c>
      <c r="E33" s="1">
        <v>54</v>
      </c>
      <c r="F33" s="1">
        <v>80</v>
      </c>
      <c r="G33" s="1">
        <v>40</v>
      </c>
    </row>
    <row r="34" spans="1:7" x14ac:dyDescent="0.25">
      <c r="A34" s="4">
        <v>31</v>
      </c>
      <c r="B34" s="5" t="s">
        <v>49</v>
      </c>
      <c r="C34" s="4">
        <v>98</v>
      </c>
      <c r="D34" s="4">
        <v>77</v>
      </c>
      <c r="E34" s="4">
        <v>83</v>
      </c>
      <c r="F34" s="4">
        <v>44</v>
      </c>
      <c r="G34" s="4">
        <v>54</v>
      </c>
    </row>
    <row r="35" spans="1:7" x14ac:dyDescent="0.25">
      <c r="A35" s="1">
        <v>32</v>
      </c>
      <c r="B35" s="2" t="s">
        <v>50</v>
      </c>
      <c r="C35" s="1">
        <v>79</v>
      </c>
      <c r="D35" s="1">
        <v>88</v>
      </c>
      <c r="E35" s="1">
        <v>74</v>
      </c>
      <c r="F35" s="1">
        <v>73</v>
      </c>
      <c r="G35" s="1">
        <v>46</v>
      </c>
    </row>
    <row r="36" spans="1:7" x14ac:dyDescent="0.25">
      <c r="A36" s="4">
        <v>33</v>
      </c>
      <c r="B36" s="5" t="s">
        <v>51</v>
      </c>
      <c r="C36" s="4">
        <v>90</v>
      </c>
      <c r="D36" s="4">
        <v>50</v>
      </c>
      <c r="E36" s="4">
        <v>88</v>
      </c>
      <c r="F36" s="4">
        <v>86</v>
      </c>
      <c r="G36" s="4">
        <v>37</v>
      </c>
    </row>
    <row r="37" spans="1:7" x14ac:dyDescent="0.25">
      <c r="A37" s="1">
        <v>34</v>
      </c>
      <c r="B37" s="2" t="s">
        <v>52</v>
      </c>
      <c r="C37" s="1">
        <v>98</v>
      </c>
      <c r="D37" s="1">
        <v>84</v>
      </c>
      <c r="E37" s="1">
        <v>93</v>
      </c>
      <c r="F37" s="1">
        <v>57</v>
      </c>
      <c r="G37" s="1">
        <v>79</v>
      </c>
    </row>
    <row r="38" spans="1:7" x14ac:dyDescent="0.25">
      <c r="A38" s="4">
        <v>35</v>
      </c>
      <c r="B38" s="5" t="s">
        <v>53</v>
      </c>
      <c r="C38" s="4">
        <v>96</v>
      </c>
      <c r="D38" s="4">
        <v>71</v>
      </c>
      <c r="E38" s="4">
        <v>52</v>
      </c>
      <c r="F38" s="4">
        <v>58</v>
      </c>
      <c r="G38" s="4">
        <v>57</v>
      </c>
    </row>
    <row r="39" spans="1:7" x14ac:dyDescent="0.25">
      <c r="A39" s="1">
        <v>36</v>
      </c>
      <c r="B39" s="2" t="s">
        <v>54</v>
      </c>
      <c r="C39" s="1">
        <v>65</v>
      </c>
      <c r="D39" s="1">
        <v>79</v>
      </c>
      <c r="E39" s="1">
        <v>45</v>
      </c>
      <c r="F39" s="1">
        <v>86</v>
      </c>
      <c r="G39" s="1">
        <v>76</v>
      </c>
    </row>
    <row r="40" spans="1:7" x14ac:dyDescent="0.25">
      <c r="A40" s="4">
        <v>37</v>
      </c>
      <c r="B40" s="5" t="s">
        <v>55</v>
      </c>
      <c r="C40" s="4">
        <v>71</v>
      </c>
      <c r="D40" s="4">
        <v>82</v>
      </c>
      <c r="E40" s="4">
        <v>93</v>
      </c>
      <c r="F40" s="4">
        <v>51</v>
      </c>
      <c r="G40" s="4">
        <v>62</v>
      </c>
    </row>
    <row r="41" spans="1:7" x14ac:dyDescent="0.25">
      <c r="A41" s="1">
        <v>38</v>
      </c>
      <c r="B41" s="2" t="s">
        <v>56</v>
      </c>
      <c r="C41" s="1">
        <v>61</v>
      </c>
      <c r="D41" s="1">
        <v>90</v>
      </c>
      <c r="E41" s="1">
        <v>64</v>
      </c>
      <c r="F41" s="1">
        <v>80</v>
      </c>
      <c r="G41" s="1">
        <v>62</v>
      </c>
    </row>
    <row r="42" spans="1:7" x14ac:dyDescent="0.25">
      <c r="A42" s="4">
        <v>39</v>
      </c>
      <c r="B42" s="5" t="s">
        <v>57</v>
      </c>
      <c r="C42" s="4">
        <v>93</v>
      </c>
      <c r="D42" s="4">
        <v>62</v>
      </c>
      <c r="E42" s="4">
        <v>54</v>
      </c>
      <c r="F42" s="4">
        <v>63</v>
      </c>
      <c r="G42" s="4">
        <v>78</v>
      </c>
    </row>
    <row r="43" spans="1:7" x14ac:dyDescent="0.25">
      <c r="A43" s="1">
        <v>40</v>
      </c>
      <c r="B43" s="2" t="s">
        <v>58</v>
      </c>
      <c r="C43" s="1">
        <v>65</v>
      </c>
      <c r="D43" s="1">
        <v>84</v>
      </c>
      <c r="E43" s="1">
        <v>94</v>
      </c>
      <c r="F43" s="1">
        <v>73</v>
      </c>
      <c r="G43" s="1">
        <v>30</v>
      </c>
    </row>
    <row r="45" spans="1:7" s="35" customFormat="1" x14ac:dyDescent="0.25"/>
    <row r="46" spans="1:7" s="35" customFormat="1" x14ac:dyDescent="0.25"/>
    <row r="88" spans="1:5" x14ac:dyDescent="0.25">
      <c r="A88" s="30"/>
      <c r="B88" s="30"/>
      <c r="C88" s="30"/>
      <c r="D88" s="30"/>
      <c r="E88" s="30"/>
    </row>
    <row r="89" spans="1:5" x14ac:dyDescent="0.25">
      <c r="A89" s="31"/>
      <c r="B89" s="31"/>
      <c r="C89" s="31"/>
      <c r="D89" s="31"/>
      <c r="E89" s="31"/>
    </row>
    <row r="131" spans="1:5" x14ac:dyDescent="0.25">
      <c r="A131" s="30"/>
      <c r="B131" s="30"/>
      <c r="C131" s="30"/>
      <c r="D131" s="30"/>
      <c r="E131" s="30"/>
    </row>
    <row r="132" spans="1:5" x14ac:dyDescent="0.25">
      <c r="A132" s="31"/>
      <c r="B132" s="31"/>
      <c r="C132" s="31"/>
      <c r="D132" s="31"/>
      <c r="E132" s="31"/>
    </row>
    <row r="174" spans="1:5" x14ac:dyDescent="0.25">
      <c r="A174" s="30"/>
      <c r="B174" s="30"/>
      <c r="C174" s="30"/>
      <c r="D174" s="30"/>
      <c r="E174" s="30"/>
    </row>
    <row r="175" spans="1:5" x14ac:dyDescent="0.25">
      <c r="A175" s="31"/>
      <c r="B175" s="31"/>
      <c r="C175" s="31"/>
      <c r="D175" s="31"/>
      <c r="E175" s="31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4"/>
  <sheetViews>
    <sheetView zoomScale="80" zoomScaleNormal="100" workbookViewId="0">
      <selection activeCell="D4" sqref="D4"/>
    </sheetView>
  </sheetViews>
  <sheetFormatPr defaultColWidth="8.7109375" defaultRowHeight="15" x14ac:dyDescent="0.25"/>
  <cols>
    <col min="1" max="1" width="6" customWidth="1"/>
    <col min="2" max="5" width="16" customWidth="1"/>
    <col min="8" max="8" width="5.42578125" customWidth="1"/>
    <col min="9" max="9" width="17.7109375" customWidth="1"/>
    <col min="10" max="10" width="11.28515625" customWidth="1"/>
    <col min="11" max="11" width="15.7109375" customWidth="1"/>
    <col min="12" max="12" width="13.28515625" customWidth="1"/>
    <col min="15" max="15" width="6.42578125" customWidth="1"/>
    <col min="16" max="16" width="19.85546875" customWidth="1"/>
    <col min="18" max="18" width="12.42578125" customWidth="1"/>
    <col min="19" max="19" width="15.28515625" customWidth="1"/>
  </cols>
  <sheetData>
    <row r="1" spans="1:19" ht="27.75" customHeight="1" x14ac:dyDescent="0.25">
      <c r="A1" s="37" t="s">
        <v>59</v>
      </c>
      <c r="B1" s="37"/>
      <c r="C1" s="37"/>
      <c r="D1" s="37"/>
      <c r="E1" s="37"/>
    </row>
    <row r="2" spans="1:19" x14ac:dyDescent="0.25">
      <c r="A2" s="38" t="s">
        <v>60</v>
      </c>
      <c r="B2" s="38"/>
      <c r="C2" s="38"/>
      <c r="D2" s="38"/>
      <c r="E2" s="38"/>
      <c r="H2" s="38" t="s">
        <v>64</v>
      </c>
      <c r="I2" s="38"/>
      <c r="J2" s="38"/>
      <c r="K2" s="38"/>
      <c r="L2" s="38"/>
      <c r="O2" s="38" t="s">
        <v>65</v>
      </c>
      <c r="P2" s="38"/>
      <c r="Q2" s="38"/>
      <c r="R2" s="38"/>
      <c r="S2" s="38"/>
    </row>
    <row r="3" spans="1:19" ht="25.5" x14ac:dyDescent="0.25">
      <c r="A3" s="27" t="s">
        <v>2</v>
      </c>
      <c r="B3" s="27" t="s">
        <v>13</v>
      </c>
      <c r="C3" s="27" t="s">
        <v>61</v>
      </c>
      <c r="D3" s="27" t="s">
        <v>62</v>
      </c>
      <c r="E3" s="27" t="s">
        <v>63</v>
      </c>
      <c r="H3" s="27" t="s">
        <v>2</v>
      </c>
      <c r="I3" s="27" t="s">
        <v>13</v>
      </c>
      <c r="J3" s="27" t="s">
        <v>61</v>
      </c>
      <c r="K3" s="27" t="s">
        <v>62</v>
      </c>
      <c r="L3" s="27" t="s">
        <v>63</v>
      </c>
      <c r="O3" s="27" t="s">
        <v>2</v>
      </c>
      <c r="P3" s="27" t="s">
        <v>13</v>
      </c>
      <c r="Q3" s="27" t="s">
        <v>61</v>
      </c>
      <c r="R3" s="27" t="s">
        <v>62</v>
      </c>
      <c r="S3" s="27" t="s">
        <v>63</v>
      </c>
    </row>
    <row r="4" spans="1:19" x14ac:dyDescent="0.25">
      <c r="A4" s="1">
        <v>1</v>
      </c>
      <c r="B4" s="2" t="s">
        <v>21</v>
      </c>
      <c r="C4" s="1">
        <v>98</v>
      </c>
      <c r="D4" s="7">
        <v>2.5</v>
      </c>
      <c r="E4" s="8">
        <v>6.25E-2</v>
      </c>
      <c r="H4" s="1">
        <v>1</v>
      </c>
      <c r="I4" s="2" t="s">
        <v>24</v>
      </c>
      <c r="J4" s="1">
        <v>94</v>
      </c>
      <c r="K4" s="7">
        <v>1.5</v>
      </c>
      <c r="L4" s="8">
        <v>3.7499999999999999E-2</v>
      </c>
      <c r="O4" s="1">
        <v>1</v>
      </c>
      <c r="P4" s="2" t="s">
        <v>58</v>
      </c>
      <c r="Q4" s="1">
        <v>94</v>
      </c>
      <c r="R4" s="7">
        <v>1</v>
      </c>
      <c r="S4" s="8">
        <v>2.5000000000000001E-2</v>
      </c>
    </row>
    <row r="5" spans="1:19" x14ac:dyDescent="0.25">
      <c r="A5" s="4">
        <v>2</v>
      </c>
      <c r="B5" s="5" t="s">
        <v>37</v>
      </c>
      <c r="C5" s="4">
        <v>98</v>
      </c>
      <c r="D5" s="9">
        <v>2.5</v>
      </c>
      <c r="E5" s="10">
        <v>6.25E-2</v>
      </c>
      <c r="H5" s="4">
        <v>2</v>
      </c>
      <c r="I5" s="5" t="s">
        <v>26</v>
      </c>
      <c r="J5" s="4">
        <v>94</v>
      </c>
      <c r="K5" s="9">
        <v>1.5</v>
      </c>
      <c r="L5" s="10">
        <v>3.7499999999999999E-2</v>
      </c>
      <c r="O5" s="4">
        <v>2</v>
      </c>
      <c r="P5" s="5" t="s">
        <v>27</v>
      </c>
      <c r="Q5" s="4">
        <v>93</v>
      </c>
      <c r="R5" s="9">
        <v>3</v>
      </c>
      <c r="S5" s="10">
        <v>7.4999999999999997E-2</v>
      </c>
    </row>
    <row r="6" spans="1:19" x14ac:dyDescent="0.25">
      <c r="A6" s="1">
        <v>3</v>
      </c>
      <c r="B6" s="2" t="s">
        <v>49</v>
      </c>
      <c r="C6" s="1">
        <v>98</v>
      </c>
      <c r="D6" s="7">
        <v>2.5</v>
      </c>
      <c r="E6" s="8">
        <v>6.25E-2</v>
      </c>
      <c r="H6" s="1">
        <v>3</v>
      </c>
      <c r="I6" s="2" t="s">
        <v>33</v>
      </c>
      <c r="J6" s="1">
        <v>92</v>
      </c>
      <c r="K6" s="7">
        <v>3</v>
      </c>
      <c r="L6" s="8">
        <v>7.4999999999999997E-2</v>
      </c>
      <c r="O6" s="1">
        <v>3</v>
      </c>
      <c r="P6" s="2" t="s">
        <v>52</v>
      </c>
      <c r="Q6" s="1">
        <v>93</v>
      </c>
      <c r="R6" s="7">
        <v>3</v>
      </c>
      <c r="S6" s="8">
        <v>7.4999999999999997E-2</v>
      </c>
    </row>
    <row r="7" spans="1:19" x14ac:dyDescent="0.25">
      <c r="A7" s="4">
        <v>4</v>
      </c>
      <c r="B7" s="5" t="s">
        <v>52</v>
      </c>
      <c r="C7" s="4">
        <v>98</v>
      </c>
      <c r="D7" s="9">
        <v>2.5</v>
      </c>
      <c r="E7" s="10">
        <v>6.25E-2</v>
      </c>
      <c r="H7" s="4">
        <v>4</v>
      </c>
      <c r="I7" s="5" t="s">
        <v>37</v>
      </c>
      <c r="J7" s="4">
        <v>91</v>
      </c>
      <c r="K7" s="9">
        <v>4</v>
      </c>
      <c r="L7" s="10">
        <v>0.1</v>
      </c>
      <c r="O7" s="4">
        <v>4</v>
      </c>
      <c r="P7" s="5" t="s">
        <v>55</v>
      </c>
      <c r="Q7" s="4">
        <v>93</v>
      </c>
      <c r="R7" s="9">
        <v>3</v>
      </c>
      <c r="S7" s="10">
        <v>7.4999999999999997E-2</v>
      </c>
    </row>
    <row r="8" spans="1:19" x14ac:dyDescent="0.25">
      <c r="A8" s="1">
        <v>5</v>
      </c>
      <c r="B8" s="2" t="s">
        <v>24</v>
      </c>
      <c r="C8" s="1">
        <v>96</v>
      </c>
      <c r="D8" s="7">
        <v>6</v>
      </c>
      <c r="E8" s="8">
        <v>0.15</v>
      </c>
      <c r="H8" s="1">
        <v>5</v>
      </c>
      <c r="I8" s="2" t="s">
        <v>35</v>
      </c>
      <c r="J8" s="1">
        <v>90</v>
      </c>
      <c r="K8" s="7">
        <v>5.5</v>
      </c>
      <c r="L8" s="8">
        <v>0.13750000000000001</v>
      </c>
      <c r="O8" s="1">
        <v>5</v>
      </c>
      <c r="P8" s="2" t="s">
        <v>38</v>
      </c>
      <c r="Q8" s="1">
        <v>91</v>
      </c>
      <c r="R8" s="7">
        <v>5</v>
      </c>
      <c r="S8" s="8">
        <v>0.125</v>
      </c>
    </row>
    <row r="9" spans="1:19" x14ac:dyDescent="0.25">
      <c r="A9" s="4">
        <v>6</v>
      </c>
      <c r="B9" s="5" t="s">
        <v>44</v>
      </c>
      <c r="C9" s="4">
        <v>96</v>
      </c>
      <c r="D9" s="9">
        <v>6</v>
      </c>
      <c r="E9" s="10">
        <v>0.15</v>
      </c>
      <c r="H9" s="4">
        <v>6</v>
      </c>
      <c r="I9" s="5" t="s">
        <v>56</v>
      </c>
      <c r="J9" s="4">
        <v>90</v>
      </c>
      <c r="K9" s="9">
        <v>5.5</v>
      </c>
      <c r="L9" s="10">
        <v>0.13750000000000001</v>
      </c>
      <c r="O9" s="4">
        <v>6</v>
      </c>
      <c r="P9" s="5" t="s">
        <v>40</v>
      </c>
      <c r="Q9" s="4">
        <v>88</v>
      </c>
      <c r="R9" s="9">
        <v>6.5</v>
      </c>
      <c r="S9" s="10">
        <v>0.16250000000000001</v>
      </c>
    </row>
    <row r="10" spans="1:19" x14ac:dyDescent="0.25">
      <c r="A10" s="1">
        <v>7</v>
      </c>
      <c r="B10" s="2" t="s">
        <v>53</v>
      </c>
      <c r="C10" s="1">
        <v>96</v>
      </c>
      <c r="D10" s="7">
        <v>6</v>
      </c>
      <c r="E10" s="8">
        <v>0.15</v>
      </c>
      <c r="H10" s="1">
        <v>7</v>
      </c>
      <c r="I10" s="2" t="s">
        <v>23</v>
      </c>
      <c r="J10" s="1">
        <v>88</v>
      </c>
      <c r="K10" s="7">
        <v>8</v>
      </c>
      <c r="L10" s="8">
        <v>0.2</v>
      </c>
      <c r="O10" s="1">
        <v>7</v>
      </c>
      <c r="P10" s="2" t="s">
        <v>51</v>
      </c>
      <c r="Q10" s="1">
        <v>88</v>
      </c>
      <c r="R10" s="7">
        <v>6.5</v>
      </c>
      <c r="S10" s="8">
        <v>0.16250000000000001</v>
      </c>
    </row>
    <row r="11" spans="1:19" x14ac:dyDescent="0.25">
      <c r="A11" s="4">
        <v>8</v>
      </c>
      <c r="B11" s="5" t="s">
        <v>19</v>
      </c>
      <c r="C11" s="4">
        <v>95</v>
      </c>
      <c r="D11" s="9">
        <v>8</v>
      </c>
      <c r="E11" s="10">
        <v>0.2</v>
      </c>
      <c r="H11" s="4">
        <v>8</v>
      </c>
      <c r="I11" s="5" t="s">
        <v>29</v>
      </c>
      <c r="J11" s="4">
        <v>88</v>
      </c>
      <c r="K11" s="9">
        <v>8</v>
      </c>
      <c r="L11" s="10">
        <v>0.2</v>
      </c>
      <c r="O11" s="4">
        <v>8</v>
      </c>
      <c r="P11" s="5" t="s">
        <v>36</v>
      </c>
      <c r="Q11" s="4">
        <v>87</v>
      </c>
      <c r="R11" s="9">
        <v>8</v>
      </c>
      <c r="S11" s="10">
        <v>0.2</v>
      </c>
    </row>
    <row r="12" spans="1:19" x14ac:dyDescent="0.25">
      <c r="A12" s="1">
        <v>9</v>
      </c>
      <c r="B12" s="2" t="s">
        <v>57</v>
      </c>
      <c r="C12" s="1">
        <v>93</v>
      </c>
      <c r="D12" s="7">
        <v>9</v>
      </c>
      <c r="E12" s="8">
        <v>0.22500000000000001</v>
      </c>
      <c r="H12" s="1">
        <v>9</v>
      </c>
      <c r="I12" s="2" t="s">
        <v>50</v>
      </c>
      <c r="J12" s="1">
        <v>88</v>
      </c>
      <c r="K12" s="7">
        <v>8</v>
      </c>
      <c r="L12" s="8">
        <v>0.2</v>
      </c>
      <c r="O12" s="1">
        <v>9</v>
      </c>
      <c r="P12" s="2" t="s">
        <v>43</v>
      </c>
      <c r="Q12" s="1">
        <v>86</v>
      </c>
      <c r="R12" s="7">
        <v>9</v>
      </c>
      <c r="S12" s="8">
        <v>0.22500000000000001</v>
      </c>
    </row>
    <row r="13" spans="1:19" x14ac:dyDescent="0.25">
      <c r="A13" s="4">
        <v>10</v>
      </c>
      <c r="B13" s="5" t="s">
        <v>46</v>
      </c>
      <c r="C13" s="4">
        <v>92</v>
      </c>
      <c r="D13" s="9">
        <v>10</v>
      </c>
      <c r="E13" s="10">
        <v>0.25</v>
      </c>
      <c r="H13" s="4">
        <v>10</v>
      </c>
      <c r="I13" s="5" t="s">
        <v>25</v>
      </c>
      <c r="J13" s="4">
        <v>87</v>
      </c>
      <c r="K13" s="9">
        <v>10</v>
      </c>
      <c r="L13" s="10">
        <v>0.25</v>
      </c>
      <c r="O13" s="4">
        <v>10</v>
      </c>
      <c r="P13" s="5" t="s">
        <v>31</v>
      </c>
      <c r="Q13" s="4">
        <v>85</v>
      </c>
      <c r="R13" s="9">
        <v>10</v>
      </c>
      <c r="S13" s="10">
        <v>0.25</v>
      </c>
    </row>
    <row r="14" spans="1:19" x14ac:dyDescent="0.25">
      <c r="A14" s="1">
        <v>11</v>
      </c>
      <c r="B14" s="2" t="s">
        <v>31</v>
      </c>
      <c r="C14" s="1">
        <v>90</v>
      </c>
      <c r="D14" s="7">
        <v>12</v>
      </c>
      <c r="E14" s="8">
        <v>0.3</v>
      </c>
      <c r="H14" s="1">
        <v>11</v>
      </c>
      <c r="I14" s="2" t="s">
        <v>32</v>
      </c>
      <c r="J14" s="1">
        <v>86</v>
      </c>
      <c r="K14" s="7">
        <v>11</v>
      </c>
      <c r="L14" s="8">
        <v>0.27500000000000002</v>
      </c>
      <c r="O14" s="1">
        <v>11</v>
      </c>
      <c r="P14" s="2" t="s">
        <v>49</v>
      </c>
      <c r="Q14" s="1">
        <v>83</v>
      </c>
      <c r="R14" s="7">
        <v>11</v>
      </c>
      <c r="S14" s="8">
        <v>0.27500000000000002</v>
      </c>
    </row>
    <row r="15" spans="1:19" x14ac:dyDescent="0.25">
      <c r="A15" s="4">
        <v>12</v>
      </c>
      <c r="B15" s="5" t="s">
        <v>40</v>
      </c>
      <c r="C15" s="4">
        <v>90</v>
      </c>
      <c r="D15" s="9">
        <v>12</v>
      </c>
      <c r="E15" s="10">
        <v>0.3</v>
      </c>
      <c r="H15" s="4">
        <v>12</v>
      </c>
      <c r="I15" s="5" t="s">
        <v>45</v>
      </c>
      <c r="J15" s="4">
        <v>85</v>
      </c>
      <c r="K15" s="9">
        <v>12</v>
      </c>
      <c r="L15" s="10">
        <v>0.3</v>
      </c>
      <c r="O15" s="4">
        <v>12</v>
      </c>
      <c r="P15" s="5" t="s">
        <v>46</v>
      </c>
      <c r="Q15" s="4">
        <v>82</v>
      </c>
      <c r="R15" s="9">
        <v>12</v>
      </c>
      <c r="S15" s="10">
        <v>0.3</v>
      </c>
    </row>
    <row r="16" spans="1:19" x14ac:dyDescent="0.25">
      <c r="A16" s="1">
        <v>13</v>
      </c>
      <c r="B16" s="2" t="s">
        <v>51</v>
      </c>
      <c r="C16" s="1">
        <v>90</v>
      </c>
      <c r="D16" s="7">
        <v>12</v>
      </c>
      <c r="E16" s="8">
        <v>0.3</v>
      </c>
      <c r="H16" s="1">
        <v>13</v>
      </c>
      <c r="I16" s="2" t="s">
        <v>21</v>
      </c>
      <c r="J16" s="1">
        <v>84</v>
      </c>
      <c r="K16" s="7">
        <v>15</v>
      </c>
      <c r="L16" s="8">
        <v>0.375</v>
      </c>
      <c r="O16" s="1">
        <v>13</v>
      </c>
      <c r="P16" s="2" t="s">
        <v>24</v>
      </c>
      <c r="Q16" s="1">
        <v>79</v>
      </c>
      <c r="R16" s="7">
        <v>13.5</v>
      </c>
      <c r="S16" s="8">
        <v>0.33750000000000002</v>
      </c>
    </row>
    <row r="17" spans="1:19" x14ac:dyDescent="0.25">
      <c r="A17" s="4">
        <v>14</v>
      </c>
      <c r="B17" s="5" t="s">
        <v>23</v>
      </c>
      <c r="C17" s="4">
        <v>87</v>
      </c>
      <c r="D17" s="9">
        <v>14</v>
      </c>
      <c r="E17" s="10">
        <v>0.35</v>
      </c>
      <c r="H17" s="4">
        <v>14</v>
      </c>
      <c r="I17" s="5" t="s">
        <v>30</v>
      </c>
      <c r="J17" s="4">
        <v>84</v>
      </c>
      <c r="K17" s="9">
        <v>15</v>
      </c>
      <c r="L17" s="10">
        <v>0.375</v>
      </c>
      <c r="O17" s="4">
        <v>14</v>
      </c>
      <c r="P17" s="5" t="s">
        <v>45</v>
      </c>
      <c r="Q17" s="4">
        <v>79</v>
      </c>
      <c r="R17" s="9">
        <v>13.5</v>
      </c>
      <c r="S17" s="10">
        <v>0.33750000000000002</v>
      </c>
    </row>
    <row r="18" spans="1:19" x14ac:dyDescent="0.25">
      <c r="A18" s="1">
        <v>15</v>
      </c>
      <c r="B18" s="2" t="s">
        <v>30</v>
      </c>
      <c r="C18" s="1">
        <v>84</v>
      </c>
      <c r="D18" s="7">
        <v>16</v>
      </c>
      <c r="E18" s="8">
        <v>0.4</v>
      </c>
      <c r="H18" s="1">
        <v>15</v>
      </c>
      <c r="I18" s="2" t="s">
        <v>38</v>
      </c>
      <c r="J18" s="1">
        <v>84</v>
      </c>
      <c r="K18" s="7">
        <v>15</v>
      </c>
      <c r="L18" s="8">
        <v>0.375</v>
      </c>
      <c r="O18" s="1">
        <v>15</v>
      </c>
      <c r="P18" s="2" t="s">
        <v>47</v>
      </c>
      <c r="Q18" s="1">
        <v>77</v>
      </c>
      <c r="R18" s="7">
        <v>15</v>
      </c>
      <c r="S18" s="8">
        <v>0.375</v>
      </c>
    </row>
    <row r="19" spans="1:19" x14ac:dyDescent="0.25">
      <c r="A19" s="4">
        <v>16</v>
      </c>
      <c r="B19" s="5" t="s">
        <v>35</v>
      </c>
      <c r="C19" s="4">
        <v>84</v>
      </c>
      <c r="D19" s="9">
        <v>16</v>
      </c>
      <c r="E19" s="10">
        <v>0.4</v>
      </c>
      <c r="H19" s="4">
        <v>16</v>
      </c>
      <c r="I19" s="5" t="s">
        <v>52</v>
      </c>
      <c r="J19" s="4">
        <v>84</v>
      </c>
      <c r="K19" s="9">
        <v>15</v>
      </c>
      <c r="L19" s="10">
        <v>0.375</v>
      </c>
      <c r="O19" s="4">
        <v>16</v>
      </c>
      <c r="P19" s="5" t="s">
        <v>50</v>
      </c>
      <c r="Q19" s="4">
        <v>74</v>
      </c>
      <c r="R19" s="9">
        <v>16</v>
      </c>
      <c r="S19" s="10">
        <v>0.4</v>
      </c>
    </row>
    <row r="20" spans="1:19" x14ac:dyDescent="0.25">
      <c r="A20" s="1">
        <v>17</v>
      </c>
      <c r="B20" s="2" t="s">
        <v>39</v>
      </c>
      <c r="C20" s="1">
        <v>84</v>
      </c>
      <c r="D20" s="7">
        <v>16</v>
      </c>
      <c r="E20" s="8">
        <v>0.4</v>
      </c>
      <c r="H20" s="1">
        <v>17</v>
      </c>
      <c r="I20" s="2" t="s">
        <v>58</v>
      </c>
      <c r="J20" s="1">
        <v>84</v>
      </c>
      <c r="K20" s="7">
        <v>15</v>
      </c>
      <c r="L20" s="8">
        <v>0.375</v>
      </c>
      <c r="O20" s="1">
        <v>17</v>
      </c>
      <c r="P20" s="2" t="s">
        <v>26</v>
      </c>
      <c r="Q20" s="1">
        <v>72</v>
      </c>
      <c r="R20" s="7">
        <v>17</v>
      </c>
      <c r="S20" s="8">
        <v>0.42499999999999999</v>
      </c>
    </row>
    <row r="21" spans="1:19" x14ac:dyDescent="0.25">
      <c r="A21" s="4">
        <v>18</v>
      </c>
      <c r="B21" s="5" t="s">
        <v>25</v>
      </c>
      <c r="C21" s="4">
        <v>83</v>
      </c>
      <c r="D21" s="9">
        <v>18</v>
      </c>
      <c r="E21" s="10">
        <v>0.45</v>
      </c>
      <c r="H21" s="4">
        <v>18</v>
      </c>
      <c r="I21" s="5" t="s">
        <v>55</v>
      </c>
      <c r="J21" s="4">
        <v>82</v>
      </c>
      <c r="K21" s="9">
        <v>18</v>
      </c>
      <c r="L21" s="10">
        <v>0.45</v>
      </c>
      <c r="O21" s="4">
        <v>18</v>
      </c>
      <c r="P21" s="5" t="s">
        <v>35</v>
      </c>
      <c r="Q21" s="4">
        <v>68</v>
      </c>
      <c r="R21" s="9">
        <v>18</v>
      </c>
      <c r="S21" s="10">
        <v>0.45</v>
      </c>
    </row>
    <row r="22" spans="1:19" x14ac:dyDescent="0.25">
      <c r="A22" s="1">
        <v>19</v>
      </c>
      <c r="B22" s="2" t="s">
        <v>50</v>
      </c>
      <c r="C22" s="1">
        <v>79</v>
      </c>
      <c r="D22" s="7">
        <v>19</v>
      </c>
      <c r="E22" s="8">
        <v>0.47499999999999998</v>
      </c>
      <c r="H22" s="1">
        <v>19</v>
      </c>
      <c r="I22" s="2" t="s">
        <v>44</v>
      </c>
      <c r="J22" s="1">
        <v>79</v>
      </c>
      <c r="K22" s="7">
        <v>19.5</v>
      </c>
      <c r="L22" s="8">
        <v>0.48749999999999999</v>
      </c>
      <c r="O22" s="1">
        <v>19</v>
      </c>
      <c r="P22" s="2" t="s">
        <v>56</v>
      </c>
      <c r="Q22" s="1">
        <v>64</v>
      </c>
      <c r="R22" s="7">
        <v>19</v>
      </c>
      <c r="S22" s="8">
        <v>0.47499999999999998</v>
      </c>
    </row>
    <row r="23" spans="1:19" x14ac:dyDescent="0.25">
      <c r="A23" s="4">
        <v>20</v>
      </c>
      <c r="B23" s="5" t="s">
        <v>32</v>
      </c>
      <c r="C23" s="4">
        <v>78</v>
      </c>
      <c r="D23" s="9">
        <v>20</v>
      </c>
      <c r="E23" s="10">
        <v>0.5</v>
      </c>
      <c r="H23" s="4">
        <v>20</v>
      </c>
      <c r="I23" s="5" t="s">
        <v>54</v>
      </c>
      <c r="J23" s="4">
        <v>79</v>
      </c>
      <c r="K23" s="9">
        <v>19.5</v>
      </c>
      <c r="L23" s="10">
        <v>0.48749999999999999</v>
      </c>
      <c r="O23" s="4">
        <v>20</v>
      </c>
      <c r="P23" s="5" t="s">
        <v>25</v>
      </c>
      <c r="Q23" s="4">
        <v>62</v>
      </c>
      <c r="R23" s="9">
        <v>20.5</v>
      </c>
      <c r="S23" s="10">
        <v>0.51249999999999996</v>
      </c>
    </row>
    <row r="24" spans="1:19" x14ac:dyDescent="0.25">
      <c r="A24" s="1">
        <v>21</v>
      </c>
      <c r="B24" s="2" t="s">
        <v>29</v>
      </c>
      <c r="C24" s="1">
        <v>77</v>
      </c>
      <c r="D24" s="7">
        <v>21.5</v>
      </c>
      <c r="E24" s="8">
        <v>0.53749999999999998</v>
      </c>
      <c r="H24" s="1">
        <v>21</v>
      </c>
      <c r="I24" s="2" t="s">
        <v>46</v>
      </c>
      <c r="J24" s="1">
        <v>77</v>
      </c>
      <c r="K24" s="7">
        <v>21.5</v>
      </c>
      <c r="L24" s="8">
        <v>0.53749999999999998</v>
      </c>
      <c r="O24" s="1">
        <v>21</v>
      </c>
      <c r="P24" s="2" t="s">
        <v>39</v>
      </c>
      <c r="Q24" s="1">
        <v>62</v>
      </c>
      <c r="R24" s="7">
        <v>20.5</v>
      </c>
      <c r="S24" s="8">
        <v>0.51249999999999996</v>
      </c>
    </row>
    <row r="25" spans="1:19" x14ac:dyDescent="0.25">
      <c r="A25" s="4">
        <v>22</v>
      </c>
      <c r="B25" s="5" t="s">
        <v>36</v>
      </c>
      <c r="C25" s="4">
        <v>77</v>
      </c>
      <c r="D25" s="9">
        <v>21.5</v>
      </c>
      <c r="E25" s="10">
        <v>0.53749999999999998</v>
      </c>
      <c r="H25" s="4">
        <v>22</v>
      </c>
      <c r="I25" s="5" t="s">
        <v>49</v>
      </c>
      <c r="J25" s="4">
        <v>77</v>
      </c>
      <c r="K25" s="9">
        <v>21.5</v>
      </c>
      <c r="L25" s="10">
        <v>0.53749999999999998</v>
      </c>
      <c r="O25" s="4">
        <v>22</v>
      </c>
      <c r="P25" s="5" t="s">
        <v>29</v>
      </c>
      <c r="Q25" s="4">
        <v>61</v>
      </c>
      <c r="R25" s="9">
        <v>22</v>
      </c>
      <c r="S25" s="10">
        <v>0.55000000000000004</v>
      </c>
    </row>
    <row r="26" spans="1:19" x14ac:dyDescent="0.25">
      <c r="A26" s="1">
        <v>23</v>
      </c>
      <c r="B26" s="2" t="s">
        <v>43</v>
      </c>
      <c r="C26" s="1">
        <v>75</v>
      </c>
      <c r="D26" s="7">
        <v>23</v>
      </c>
      <c r="E26" s="8">
        <v>0.57499999999999996</v>
      </c>
      <c r="H26" s="1">
        <v>23</v>
      </c>
      <c r="I26" s="2" t="s">
        <v>28</v>
      </c>
      <c r="J26" s="1">
        <v>74</v>
      </c>
      <c r="K26" s="7">
        <v>23.5</v>
      </c>
      <c r="L26" s="8">
        <v>0.58750000000000002</v>
      </c>
      <c r="O26" s="1">
        <v>23</v>
      </c>
      <c r="P26" s="2" t="s">
        <v>33</v>
      </c>
      <c r="Q26" s="1">
        <v>59</v>
      </c>
      <c r="R26" s="7">
        <v>23</v>
      </c>
      <c r="S26" s="8">
        <v>0.57499999999999996</v>
      </c>
    </row>
    <row r="27" spans="1:19" x14ac:dyDescent="0.25">
      <c r="A27" s="4">
        <v>24</v>
      </c>
      <c r="B27" s="5" t="s">
        <v>42</v>
      </c>
      <c r="C27" s="4">
        <v>72</v>
      </c>
      <c r="D27" s="9">
        <v>24</v>
      </c>
      <c r="E27" s="10">
        <v>0.6</v>
      </c>
      <c r="H27" s="4">
        <v>24</v>
      </c>
      <c r="I27" s="5" t="s">
        <v>39</v>
      </c>
      <c r="J27" s="4">
        <v>74</v>
      </c>
      <c r="K27" s="9">
        <v>23.5</v>
      </c>
      <c r="L27" s="10">
        <v>0.58750000000000002</v>
      </c>
      <c r="O27" s="4">
        <v>24</v>
      </c>
      <c r="P27" s="5" t="s">
        <v>42</v>
      </c>
      <c r="Q27" s="4">
        <v>58</v>
      </c>
      <c r="R27" s="9">
        <v>24</v>
      </c>
      <c r="S27" s="10">
        <v>0.6</v>
      </c>
    </row>
    <row r="28" spans="1:19" x14ac:dyDescent="0.25">
      <c r="A28" s="1">
        <v>25</v>
      </c>
      <c r="B28" s="2" t="s">
        <v>55</v>
      </c>
      <c r="C28" s="1">
        <v>71</v>
      </c>
      <c r="D28" s="7">
        <v>25</v>
      </c>
      <c r="E28" s="8">
        <v>0.625</v>
      </c>
      <c r="H28" s="1">
        <v>25</v>
      </c>
      <c r="I28" s="2" t="s">
        <v>53</v>
      </c>
      <c r="J28" s="1">
        <v>71</v>
      </c>
      <c r="K28" s="7">
        <v>25</v>
      </c>
      <c r="L28" s="8">
        <v>0.625</v>
      </c>
      <c r="O28" s="1">
        <v>25</v>
      </c>
      <c r="P28" s="2" t="s">
        <v>32</v>
      </c>
      <c r="Q28" s="1">
        <v>57</v>
      </c>
      <c r="R28" s="7">
        <v>25</v>
      </c>
      <c r="S28" s="8">
        <v>0.625</v>
      </c>
    </row>
    <row r="29" spans="1:19" x14ac:dyDescent="0.25">
      <c r="A29" s="4">
        <v>26</v>
      </c>
      <c r="B29" s="5" t="s">
        <v>20</v>
      </c>
      <c r="C29" s="4">
        <v>70</v>
      </c>
      <c r="D29" s="9">
        <v>26.5</v>
      </c>
      <c r="E29" s="10">
        <v>0.66249999999999998</v>
      </c>
      <c r="H29" s="4">
        <v>26</v>
      </c>
      <c r="I29" s="5" t="s">
        <v>31</v>
      </c>
      <c r="J29" s="4">
        <v>68</v>
      </c>
      <c r="K29" s="9">
        <v>26</v>
      </c>
      <c r="L29" s="10">
        <v>0.65</v>
      </c>
      <c r="O29" s="4">
        <v>26</v>
      </c>
      <c r="P29" s="5" t="s">
        <v>44</v>
      </c>
      <c r="Q29" s="4">
        <v>54</v>
      </c>
      <c r="R29" s="9">
        <v>27</v>
      </c>
      <c r="S29" s="10">
        <v>0.67500000000000004</v>
      </c>
    </row>
    <row r="30" spans="1:19" x14ac:dyDescent="0.25">
      <c r="A30" s="1">
        <v>27</v>
      </c>
      <c r="B30" s="2" t="s">
        <v>45</v>
      </c>
      <c r="C30" s="1">
        <v>70</v>
      </c>
      <c r="D30" s="7">
        <v>26.5</v>
      </c>
      <c r="E30" s="8">
        <v>0.66249999999999998</v>
      </c>
      <c r="H30" s="1">
        <v>27</v>
      </c>
      <c r="I30" s="2" t="s">
        <v>20</v>
      </c>
      <c r="J30" s="1">
        <v>64</v>
      </c>
      <c r="K30" s="7">
        <v>28.5</v>
      </c>
      <c r="L30" s="8">
        <v>0.71250000000000002</v>
      </c>
      <c r="O30" s="1">
        <v>27</v>
      </c>
      <c r="P30" s="2" t="s">
        <v>48</v>
      </c>
      <c r="Q30" s="1">
        <v>54</v>
      </c>
      <c r="R30" s="7">
        <v>27</v>
      </c>
      <c r="S30" s="8">
        <v>0.67500000000000004</v>
      </c>
    </row>
    <row r="31" spans="1:19" x14ac:dyDescent="0.25">
      <c r="A31" s="4">
        <v>28</v>
      </c>
      <c r="B31" s="5" t="s">
        <v>47</v>
      </c>
      <c r="C31" s="4">
        <v>69</v>
      </c>
      <c r="D31" s="9">
        <v>28</v>
      </c>
      <c r="E31" s="10">
        <v>0.7</v>
      </c>
      <c r="H31" s="4">
        <v>28</v>
      </c>
      <c r="I31" s="5" t="s">
        <v>34</v>
      </c>
      <c r="J31" s="4">
        <v>64</v>
      </c>
      <c r="K31" s="9">
        <v>28.5</v>
      </c>
      <c r="L31" s="10">
        <v>0.71250000000000002</v>
      </c>
      <c r="O31" s="4">
        <v>28</v>
      </c>
      <c r="P31" s="5" t="s">
        <v>57</v>
      </c>
      <c r="Q31" s="4">
        <v>54</v>
      </c>
      <c r="R31" s="9">
        <v>27</v>
      </c>
      <c r="S31" s="10">
        <v>0.67500000000000004</v>
      </c>
    </row>
    <row r="32" spans="1:19" x14ac:dyDescent="0.25">
      <c r="A32" s="1">
        <v>29</v>
      </c>
      <c r="B32" s="2" t="s">
        <v>26</v>
      </c>
      <c r="C32" s="1">
        <v>65</v>
      </c>
      <c r="D32" s="7">
        <v>30.5</v>
      </c>
      <c r="E32" s="8">
        <v>0.76249999999999996</v>
      </c>
      <c r="H32" s="1">
        <v>29</v>
      </c>
      <c r="I32" s="2" t="s">
        <v>40</v>
      </c>
      <c r="J32" s="1">
        <v>64</v>
      </c>
      <c r="K32" s="7">
        <v>28.5</v>
      </c>
      <c r="L32" s="8">
        <v>0.71250000000000002</v>
      </c>
      <c r="O32" s="1">
        <v>29</v>
      </c>
      <c r="P32" s="2" t="s">
        <v>20</v>
      </c>
      <c r="Q32" s="1">
        <v>53</v>
      </c>
      <c r="R32" s="7">
        <v>29</v>
      </c>
      <c r="S32" s="8">
        <v>0.72499999999999998</v>
      </c>
    </row>
    <row r="33" spans="1:19" x14ac:dyDescent="0.25">
      <c r="A33" s="4">
        <v>30</v>
      </c>
      <c r="B33" s="5" t="s">
        <v>38</v>
      </c>
      <c r="C33" s="4">
        <v>65</v>
      </c>
      <c r="D33" s="9">
        <v>30.5</v>
      </c>
      <c r="E33" s="10">
        <v>0.76249999999999996</v>
      </c>
      <c r="H33" s="4">
        <v>30</v>
      </c>
      <c r="I33" s="5" t="s">
        <v>41</v>
      </c>
      <c r="J33" s="4">
        <v>64</v>
      </c>
      <c r="K33" s="9">
        <v>28.5</v>
      </c>
      <c r="L33" s="10">
        <v>0.71250000000000002</v>
      </c>
      <c r="O33" s="4">
        <v>30</v>
      </c>
      <c r="P33" s="5" t="s">
        <v>30</v>
      </c>
      <c r="Q33" s="4">
        <v>52</v>
      </c>
      <c r="R33" s="9">
        <v>30.5</v>
      </c>
      <c r="S33" s="10">
        <v>0.76249999999999996</v>
      </c>
    </row>
    <row r="34" spans="1:19" x14ac:dyDescent="0.25">
      <c r="A34" s="1">
        <v>31</v>
      </c>
      <c r="B34" s="2" t="s">
        <v>54</v>
      </c>
      <c r="C34" s="1">
        <v>65</v>
      </c>
      <c r="D34" s="7">
        <v>30.5</v>
      </c>
      <c r="E34" s="8">
        <v>0.76249999999999996</v>
      </c>
      <c r="H34" s="1">
        <v>31</v>
      </c>
      <c r="I34" s="2" t="s">
        <v>27</v>
      </c>
      <c r="J34" s="1">
        <v>63</v>
      </c>
      <c r="K34" s="7">
        <v>32</v>
      </c>
      <c r="L34" s="8">
        <v>0.8</v>
      </c>
      <c r="O34" s="1">
        <v>31</v>
      </c>
      <c r="P34" s="2" t="s">
        <v>53</v>
      </c>
      <c r="Q34" s="1">
        <v>52</v>
      </c>
      <c r="R34" s="7">
        <v>30.5</v>
      </c>
      <c r="S34" s="8">
        <v>0.76249999999999996</v>
      </c>
    </row>
    <row r="35" spans="1:19" x14ac:dyDescent="0.25">
      <c r="A35" s="4">
        <v>32</v>
      </c>
      <c r="B35" s="5" t="s">
        <v>58</v>
      </c>
      <c r="C35" s="4">
        <v>65</v>
      </c>
      <c r="D35" s="9">
        <v>30.5</v>
      </c>
      <c r="E35" s="10">
        <v>0.76249999999999996</v>
      </c>
      <c r="H35" s="4">
        <v>32</v>
      </c>
      <c r="I35" s="5" t="s">
        <v>36</v>
      </c>
      <c r="J35" s="4">
        <v>63</v>
      </c>
      <c r="K35" s="9">
        <v>32</v>
      </c>
      <c r="L35" s="10">
        <v>0.8</v>
      </c>
      <c r="O35" s="4">
        <v>32</v>
      </c>
      <c r="P35" s="5" t="s">
        <v>28</v>
      </c>
      <c r="Q35" s="4">
        <v>51</v>
      </c>
      <c r="R35" s="9">
        <v>32.5</v>
      </c>
      <c r="S35" s="10">
        <v>0.8125</v>
      </c>
    </row>
    <row r="36" spans="1:19" x14ac:dyDescent="0.25">
      <c r="A36" s="1">
        <v>33</v>
      </c>
      <c r="B36" s="2" t="s">
        <v>27</v>
      </c>
      <c r="C36" s="1">
        <v>64</v>
      </c>
      <c r="D36" s="7">
        <v>33</v>
      </c>
      <c r="E36" s="8">
        <v>0.82499999999999996</v>
      </c>
      <c r="H36" s="1">
        <v>33</v>
      </c>
      <c r="I36" s="2" t="s">
        <v>43</v>
      </c>
      <c r="J36" s="1">
        <v>63</v>
      </c>
      <c r="K36" s="7">
        <v>32</v>
      </c>
      <c r="L36" s="8">
        <v>0.8</v>
      </c>
      <c r="O36" s="1">
        <v>33</v>
      </c>
      <c r="P36" s="2" t="s">
        <v>34</v>
      </c>
      <c r="Q36" s="1">
        <v>51</v>
      </c>
      <c r="R36" s="7">
        <v>32.5</v>
      </c>
      <c r="S36" s="8">
        <v>0.8125</v>
      </c>
    </row>
    <row r="37" spans="1:19" x14ac:dyDescent="0.25">
      <c r="A37" s="4">
        <v>34</v>
      </c>
      <c r="B37" s="5" t="s">
        <v>56</v>
      </c>
      <c r="C37" s="4">
        <v>61</v>
      </c>
      <c r="D37" s="9">
        <v>34</v>
      </c>
      <c r="E37" s="10">
        <v>0.85</v>
      </c>
      <c r="H37" s="4">
        <v>34</v>
      </c>
      <c r="I37" s="5" t="s">
        <v>57</v>
      </c>
      <c r="J37" s="4">
        <v>62</v>
      </c>
      <c r="K37" s="9">
        <v>34</v>
      </c>
      <c r="L37" s="10">
        <v>0.85</v>
      </c>
      <c r="O37" s="4">
        <v>34</v>
      </c>
      <c r="P37" s="5" t="s">
        <v>21</v>
      </c>
      <c r="Q37" s="4">
        <v>50</v>
      </c>
      <c r="R37" s="9">
        <v>34.5</v>
      </c>
      <c r="S37" s="10">
        <v>0.86250000000000004</v>
      </c>
    </row>
    <row r="38" spans="1:19" x14ac:dyDescent="0.25">
      <c r="A38" s="1">
        <v>35</v>
      </c>
      <c r="B38" s="2" t="s">
        <v>28</v>
      </c>
      <c r="C38" s="1">
        <v>60</v>
      </c>
      <c r="D38" s="7">
        <v>35.5</v>
      </c>
      <c r="E38" s="8">
        <v>0.88749999999999996</v>
      </c>
      <c r="H38" s="1">
        <v>35</v>
      </c>
      <c r="I38" s="2" t="s">
        <v>47</v>
      </c>
      <c r="J38" s="1">
        <v>58</v>
      </c>
      <c r="K38" s="7">
        <v>35</v>
      </c>
      <c r="L38" s="8">
        <v>0.875</v>
      </c>
      <c r="O38" s="1">
        <v>35</v>
      </c>
      <c r="P38" s="2" t="s">
        <v>22</v>
      </c>
      <c r="Q38" s="1">
        <v>50</v>
      </c>
      <c r="R38" s="7">
        <v>34.5</v>
      </c>
      <c r="S38" s="8">
        <v>0.86250000000000004</v>
      </c>
    </row>
    <row r="39" spans="1:19" x14ac:dyDescent="0.25">
      <c r="A39" s="4">
        <v>36</v>
      </c>
      <c r="B39" s="5" t="s">
        <v>34</v>
      </c>
      <c r="C39" s="4">
        <v>60</v>
      </c>
      <c r="D39" s="9">
        <v>35.5</v>
      </c>
      <c r="E39" s="10">
        <v>0.88749999999999996</v>
      </c>
      <c r="H39" s="4">
        <v>36</v>
      </c>
      <c r="I39" s="5" t="s">
        <v>19</v>
      </c>
      <c r="J39" s="4">
        <v>57</v>
      </c>
      <c r="K39" s="9">
        <v>36.5</v>
      </c>
      <c r="L39" s="10">
        <v>0.91249999999999998</v>
      </c>
      <c r="O39" s="4">
        <v>36</v>
      </c>
      <c r="P39" s="5" t="s">
        <v>37</v>
      </c>
      <c r="Q39" s="4">
        <v>49</v>
      </c>
      <c r="R39" s="9">
        <v>36</v>
      </c>
      <c r="S39" s="10">
        <v>0.9</v>
      </c>
    </row>
    <row r="40" spans="1:19" x14ac:dyDescent="0.25">
      <c r="A40" s="1">
        <v>37</v>
      </c>
      <c r="B40" s="2" t="s">
        <v>41</v>
      </c>
      <c r="C40" s="1">
        <v>58</v>
      </c>
      <c r="D40" s="7">
        <v>37.5</v>
      </c>
      <c r="E40" s="8">
        <v>0.9375</v>
      </c>
      <c r="H40" s="1">
        <v>37</v>
      </c>
      <c r="I40" s="2" t="s">
        <v>48</v>
      </c>
      <c r="J40" s="1">
        <v>57</v>
      </c>
      <c r="K40" s="7">
        <v>36.5</v>
      </c>
      <c r="L40" s="8">
        <v>0.91249999999999998</v>
      </c>
      <c r="O40" s="1">
        <v>37</v>
      </c>
      <c r="P40" s="2" t="s">
        <v>41</v>
      </c>
      <c r="Q40" s="1">
        <v>47</v>
      </c>
      <c r="R40" s="7">
        <v>37</v>
      </c>
      <c r="S40" s="8">
        <v>0.92500000000000004</v>
      </c>
    </row>
    <row r="41" spans="1:19" x14ac:dyDescent="0.25">
      <c r="A41" s="4">
        <v>38</v>
      </c>
      <c r="B41" s="5" t="s">
        <v>48</v>
      </c>
      <c r="C41" s="4">
        <v>58</v>
      </c>
      <c r="D41" s="9">
        <v>37.5</v>
      </c>
      <c r="E41" s="10">
        <v>0.9375</v>
      </c>
      <c r="H41" s="4">
        <v>38</v>
      </c>
      <c r="I41" s="5" t="s">
        <v>42</v>
      </c>
      <c r="J41" s="4">
        <v>54</v>
      </c>
      <c r="K41" s="9">
        <v>38</v>
      </c>
      <c r="L41" s="10">
        <v>0.95</v>
      </c>
      <c r="O41" s="4">
        <v>38</v>
      </c>
      <c r="P41" s="5" t="s">
        <v>19</v>
      </c>
      <c r="Q41" s="4">
        <v>46</v>
      </c>
      <c r="R41" s="9">
        <v>38.5</v>
      </c>
      <c r="S41" s="10">
        <v>0.96250000000000002</v>
      </c>
    </row>
    <row r="42" spans="1:19" x14ac:dyDescent="0.25">
      <c r="A42" s="1">
        <v>39</v>
      </c>
      <c r="B42" s="2" t="s">
        <v>22</v>
      </c>
      <c r="C42" s="1">
        <v>57</v>
      </c>
      <c r="D42" s="7">
        <v>39.5</v>
      </c>
      <c r="E42" s="8">
        <v>0.98750000000000004</v>
      </c>
      <c r="H42" s="1">
        <v>39</v>
      </c>
      <c r="I42" s="2" t="s">
        <v>22</v>
      </c>
      <c r="J42" s="1">
        <v>51</v>
      </c>
      <c r="K42" s="7">
        <v>39</v>
      </c>
      <c r="L42" s="8">
        <v>0.97499999999999998</v>
      </c>
      <c r="O42" s="1">
        <v>39</v>
      </c>
      <c r="P42" s="2" t="s">
        <v>23</v>
      </c>
      <c r="Q42" s="1">
        <v>46</v>
      </c>
      <c r="R42" s="7">
        <v>38.5</v>
      </c>
      <c r="S42" s="8">
        <v>0.96250000000000002</v>
      </c>
    </row>
    <row r="43" spans="1:19" x14ac:dyDescent="0.25">
      <c r="A43" s="4">
        <v>40</v>
      </c>
      <c r="B43" s="5" t="s">
        <v>33</v>
      </c>
      <c r="C43" s="4">
        <v>57</v>
      </c>
      <c r="D43" s="9">
        <v>39.5</v>
      </c>
      <c r="E43" s="10">
        <v>0.98750000000000004</v>
      </c>
      <c r="H43" s="4">
        <v>40</v>
      </c>
      <c r="I43" s="5" t="s">
        <v>51</v>
      </c>
      <c r="J43" s="4">
        <v>50</v>
      </c>
      <c r="K43" s="9">
        <v>40</v>
      </c>
      <c r="L43" s="10">
        <v>1</v>
      </c>
      <c r="O43" s="4">
        <v>40</v>
      </c>
      <c r="P43" s="5" t="s">
        <v>54</v>
      </c>
      <c r="Q43" s="4">
        <v>45</v>
      </c>
      <c r="R43" s="9">
        <v>40</v>
      </c>
      <c r="S43" s="10">
        <v>1</v>
      </c>
    </row>
    <row r="45" spans="1:19" ht="19.5" customHeight="1" x14ac:dyDescent="0.25"/>
    <row r="48" spans="1:19" x14ac:dyDescent="0.25">
      <c r="A48" s="38" t="s">
        <v>66</v>
      </c>
      <c r="B48" s="38"/>
      <c r="C48" s="38"/>
      <c r="D48" s="38"/>
      <c r="E48" s="38"/>
      <c r="H48" s="38" t="s">
        <v>67</v>
      </c>
      <c r="I48" s="38"/>
      <c r="J48" s="38"/>
      <c r="K48" s="38"/>
      <c r="L48" s="38"/>
    </row>
    <row r="49" spans="1:12" x14ac:dyDescent="0.25">
      <c r="A49" s="27" t="s">
        <v>2</v>
      </c>
      <c r="B49" s="27" t="s">
        <v>13</v>
      </c>
      <c r="C49" s="27" t="s">
        <v>61</v>
      </c>
      <c r="D49" s="27" t="s">
        <v>62</v>
      </c>
      <c r="E49" s="27" t="s">
        <v>63</v>
      </c>
      <c r="H49" s="27" t="s">
        <v>2</v>
      </c>
      <c r="I49" s="27" t="s">
        <v>13</v>
      </c>
      <c r="J49" s="27" t="s">
        <v>61</v>
      </c>
      <c r="K49" s="27" t="s">
        <v>62</v>
      </c>
      <c r="L49" s="27" t="s">
        <v>63</v>
      </c>
    </row>
    <row r="50" spans="1:12" x14ac:dyDescent="0.25">
      <c r="A50" s="1">
        <v>1</v>
      </c>
      <c r="B50" s="2" t="s">
        <v>33</v>
      </c>
      <c r="C50" s="1">
        <v>89</v>
      </c>
      <c r="D50" s="7">
        <v>1</v>
      </c>
      <c r="E50" s="8">
        <v>2.5000000000000001E-2</v>
      </c>
      <c r="H50" s="1">
        <v>1</v>
      </c>
      <c r="I50" s="2" t="s">
        <v>31</v>
      </c>
      <c r="J50" s="1">
        <v>85</v>
      </c>
      <c r="K50" s="7">
        <v>1</v>
      </c>
      <c r="L50" s="8">
        <v>2.5000000000000001E-2</v>
      </c>
    </row>
    <row r="51" spans="1:12" x14ac:dyDescent="0.25">
      <c r="A51" s="4">
        <v>2</v>
      </c>
      <c r="B51" s="5" t="s">
        <v>19</v>
      </c>
      <c r="C51" s="4">
        <v>87</v>
      </c>
      <c r="D51" s="9">
        <v>2.5</v>
      </c>
      <c r="E51" s="10">
        <v>6.25E-2</v>
      </c>
      <c r="H51" s="4">
        <v>2</v>
      </c>
      <c r="I51" s="5" t="s">
        <v>28</v>
      </c>
      <c r="J51" s="4">
        <v>84</v>
      </c>
      <c r="K51" s="9">
        <v>2</v>
      </c>
      <c r="L51" s="10">
        <v>0.05</v>
      </c>
    </row>
    <row r="52" spans="1:12" x14ac:dyDescent="0.25">
      <c r="A52" s="1">
        <v>3</v>
      </c>
      <c r="B52" s="2" t="s">
        <v>20</v>
      </c>
      <c r="C52" s="1">
        <v>87</v>
      </c>
      <c r="D52" s="7">
        <v>2.5</v>
      </c>
      <c r="E52" s="8">
        <v>6.25E-2</v>
      </c>
      <c r="H52" s="1">
        <v>3</v>
      </c>
      <c r="I52" s="2" t="s">
        <v>40</v>
      </c>
      <c r="J52" s="1">
        <v>83</v>
      </c>
      <c r="K52" s="7">
        <v>3</v>
      </c>
      <c r="L52" s="8">
        <v>7.4999999999999997E-2</v>
      </c>
    </row>
    <row r="53" spans="1:12" x14ac:dyDescent="0.25">
      <c r="A53" s="4">
        <v>4</v>
      </c>
      <c r="B53" s="5" t="s">
        <v>51</v>
      </c>
      <c r="C53" s="4">
        <v>86</v>
      </c>
      <c r="D53" s="9">
        <v>4.5</v>
      </c>
      <c r="E53" s="10">
        <v>0.1125</v>
      </c>
      <c r="H53" s="4">
        <v>4</v>
      </c>
      <c r="I53" s="5" t="s">
        <v>52</v>
      </c>
      <c r="J53" s="4">
        <v>79</v>
      </c>
      <c r="K53" s="9">
        <v>4</v>
      </c>
      <c r="L53" s="10">
        <v>0.1</v>
      </c>
    </row>
    <row r="54" spans="1:12" x14ac:dyDescent="0.25">
      <c r="A54" s="1">
        <v>5</v>
      </c>
      <c r="B54" s="2" t="s">
        <v>54</v>
      </c>
      <c r="C54" s="1">
        <v>86</v>
      </c>
      <c r="D54" s="7">
        <v>4.5</v>
      </c>
      <c r="E54" s="8">
        <v>0.1125</v>
      </c>
      <c r="H54" s="1">
        <v>5</v>
      </c>
      <c r="I54" s="2" t="s">
        <v>25</v>
      </c>
      <c r="J54" s="1">
        <v>78</v>
      </c>
      <c r="K54" s="7">
        <v>5.5</v>
      </c>
      <c r="L54" s="8">
        <v>0.13750000000000001</v>
      </c>
    </row>
    <row r="55" spans="1:12" x14ac:dyDescent="0.25">
      <c r="A55" s="4">
        <v>6</v>
      </c>
      <c r="B55" s="5" t="s">
        <v>32</v>
      </c>
      <c r="C55" s="4">
        <v>85</v>
      </c>
      <c r="D55" s="9">
        <v>6</v>
      </c>
      <c r="E55" s="10">
        <v>0.15</v>
      </c>
      <c r="H55" s="4">
        <v>6</v>
      </c>
      <c r="I55" s="5" t="s">
        <v>57</v>
      </c>
      <c r="J55" s="4">
        <v>78</v>
      </c>
      <c r="K55" s="9">
        <v>5.5</v>
      </c>
      <c r="L55" s="10">
        <v>0.13750000000000001</v>
      </c>
    </row>
    <row r="56" spans="1:12" x14ac:dyDescent="0.25">
      <c r="A56" s="1">
        <v>7</v>
      </c>
      <c r="B56" s="2" t="s">
        <v>39</v>
      </c>
      <c r="C56" s="1">
        <v>80</v>
      </c>
      <c r="D56" s="7">
        <v>8</v>
      </c>
      <c r="E56" s="8">
        <v>0.2</v>
      </c>
      <c r="H56" s="1">
        <v>7</v>
      </c>
      <c r="I56" s="2" t="s">
        <v>45</v>
      </c>
      <c r="J56" s="1">
        <v>77</v>
      </c>
      <c r="K56" s="7">
        <v>7</v>
      </c>
      <c r="L56" s="8">
        <v>0.17499999999999999</v>
      </c>
    </row>
    <row r="57" spans="1:12" x14ac:dyDescent="0.25">
      <c r="A57" s="4">
        <v>8</v>
      </c>
      <c r="B57" s="5" t="s">
        <v>48</v>
      </c>
      <c r="C57" s="4">
        <v>80</v>
      </c>
      <c r="D57" s="9">
        <v>8</v>
      </c>
      <c r="E57" s="10">
        <v>0.2</v>
      </c>
      <c r="H57" s="4">
        <v>8</v>
      </c>
      <c r="I57" s="5" t="s">
        <v>29</v>
      </c>
      <c r="J57" s="4">
        <v>76</v>
      </c>
      <c r="K57" s="9">
        <v>8.5</v>
      </c>
      <c r="L57" s="10">
        <v>0.21249999999999999</v>
      </c>
    </row>
    <row r="58" spans="1:12" x14ac:dyDescent="0.25">
      <c r="A58" s="1">
        <v>9</v>
      </c>
      <c r="B58" s="2" t="s">
        <v>56</v>
      </c>
      <c r="C58" s="1">
        <v>80</v>
      </c>
      <c r="D58" s="7">
        <v>8</v>
      </c>
      <c r="E58" s="8">
        <v>0.2</v>
      </c>
      <c r="H58" s="1">
        <v>9</v>
      </c>
      <c r="I58" s="2" t="s">
        <v>54</v>
      </c>
      <c r="J58" s="1">
        <v>76</v>
      </c>
      <c r="K58" s="7">
        <v>8.5</v>
      </c>
      <c r="L58" s="8">
        <v>0.21249999999999999</v>
      </c>
    </row>
    <row r="59" spans="1:12" x14ac:dyDescent="0.25">
      <c r="A59" s="4">
        <v>10</v>
      </c>
      <c r="B59" s="5" t="s">
        <v>31</v>
      </c>
      <c r="C59" s="4">
        <v>79</v>
      </c>
      <c r="D59" s="9">
        <v>10</v>
      </c>
      <c r="E59" s="10">
        <v>0.25</v>
      </c>
      <c r="H59" s="4">
        <v>10</v>
      </c>
      <c r="I59" s="5" t="s">
        <v>42</v>
      </c>
      <c r="J59" s="4">
        <v>75</v>
      </c>
      <c r="K59" s="9">
        <v>10</v>
      </c>
      <c r="L59" s="10">
        <v>0.25</v>
      </c>
    </row>
    <row r="60" spans="1:12" x14ac:dyDescent="0.25">
      <c r="A60" s="1">
        <v>11</v>
      </c>
      <c r="B60" s="2" t="s">
        <v>37</v>
      </c>
      <c r="C60" s="1">
        <v>78</v>
      </c>
      <c r="D60" s="7">
        <v>11</v>
      </c>
      <c r="E60" s="8">
        <v>0.27500000000000002</v>
      </c>
      <c r="H60" s="1">
        <v>11</v>
      </c>
      <c r="I60" s="2" t="s">
        <v>36</v>
      </c>
      <c r="J60" s="1">
        <v>74</v>
      </c>
      <c r="K60" s="7">
        <v>11.5</v>
      </c>
      <c r="L60" s="8">
        <v>0.28749999999999998</v>
      </c>
    </row>
    <row r="61" spans="1:12" x14ac:dyDescent="0.25">
      <c r="A61" s="4">
        <v>12</v>
      </c>
      <c r="B61" s="5" t="s">
        <v>21</v>
      </c>
      <c r="C61" s="4">
        <v>77</v>
      </c>
      <c r="D61" s="9">
        <v>12</v>
      </c>
      <c r="E61" s="10">
        <v>0.3</v>
      </c>
      <c r="H61" s="4">
        <v>12</v>
      </c>
      <c r="I61" s="5" t="s">
        <v>39</v>
      </c>
      <c r="J61" s="4">
        <v>74</v>
      </c>
      <c r="K61" s="9">
        <v>11.5</v>
      </c>
      <c r="L61" s="10">
        <v>0.28749999999999998</v>
      </c>
    </row>
    <row r="62" spans="1:12" x14ac:dyDescent="0.25">
      <c r="A62" s="1">
        <v>13</v>
      </c>
      <c r="B62" s="2" t="s">
        <v>42</v>
      </c>
      <c r="C62" s="1">
        <v>76</v>
      </c>
      <c r="D62" s="7">
        <v>13</v>
      </c>
      <c r="E62" s="8">
        <v>0.32500000000000001</v>
      </c>
      <c r="H62" s="1">
        <v>13</v>
      </c>
      <c r="I62" s="2" t="s">
        <v>37</v>
      </c>
      <c r="J62" s="1">
        <v>70</v>
      </c>
      <c r="K62" s="7">
        <v>13</v>
      </c>
      <c r="L62" s="8">
        <v>0.32500000000000001</v>
      </c>
    </row>
    <row r="63" spans="1:12" x14ac:dyDescent="0.25">
      <c r="A63" s="4">
        <v>14</v>
      </c>
      <c r="B63" s="5" t="s">
        <v>23</v>
      </c>
      <c r="C63" s="4">
        <v>75</v>
      </c>
      <c r="D63" s="9">
        <v>14</v>
      </c>
      <c r="E63" s="10">
        <v>0.35</v>
      </c>
      <c r="H63" s="4">
        <v>14</v>
      </c>
      <c r="I63" s="5" t="s">
        <v>55</v>
      </c>
      <c r="J63" s="4">
        <v>62</v>
      </c>
      <c r="K63" s="9">
        <v>14.5</v>
      </c>
      <c r="L63" s="10">
        <v>0.36249999999999999</v>
      </c>
    </row>
    <row r="64" spans="1:12" x14ac:dyDescent="0.25">
      <c r="A64" s="1">
        <v>15</v>
      </c>
      <c r="B64" s="2" t="s">
        <v>50</v>
      </c>
      <c r="C64" s="1">
        <v>73</v>
      </c>
      <c r="D64" s="7">
        <v>15.5</v>
      </c>
      <c r="E64" s="8">
        <v>0.38750000000000001</v>
      </c>
      <c r="H64" s="1">
        <v>15</v>
      </c>
      <c r="I64" s="2" t="s">
        <v>56</v>
      </c>
      <c r="J64" s="1">
        <v>62</v>
      </c>
      <c r="K64" s="7">
        <v>14.5</v>
      </c>
      <c r="L64" s="8">
        <v>0.36249999999999999</v>
      </c>
    </row>
    <row r="65" spans="1:12" x14ac:dyDescent="0.25">
      <c r="A65" s="4">
        <v>16</v>
      </c>
      <c r="B65" s="5" t="s">
        <v>58</v>
      </c>
      <c r="C65" s="4">
        <v>73</v>
      </c>
      <c r="D65" s="9">
        <v>15.5</v>
      </c>
      <c r="E65" s="10">
        <v>0.38750000000000001</v>
      </c>
      <c r="H65" s="4">
        <v>16</v>
      </c>
      <c r="I65" s="5" t="s">
        <v>21</v>
      </c>
      <c r="J65" s="4">
        <v>57</v>
      </c>
      <c r="K65" s="9">
        <v>16.5</v>
      </c>
      <c r="L65" s="10">
        <v>0.41249999999999998</v>
      </c>
    </row>
    <row r="66" spans="1:12" x14ac:dyDescent="0.25">
      <c r="A66" s="1">
        <v>17</v>
      </c>
      <c r="B66" s="2" t="s">
        <v>43</v>
      </c>
      <c r="C66" s="1">
        <v>71</v>
      </c>
      <c r="D66" s="7">
        <v>17.5</v>
      </c>
      <c r="E66" s="8">
        <v>0.4375</v>
      </c>
      <c r="H66" s="1">
        <v>17</v>
      </c>
      <c r="I66" s="2" t="s">
        <v>53</v>
      </c>
      <c r="J66" s="1">
        <v>57</v>
      </c>
      <c r="K66" s="7">
        <v>16.5</v>
      </c>
      <c r="L66" s="8">
        <v>0.41249999999999998</v>
      </c>
    </row>
    <row r="67" spans="1:12" x14ac:dyDescent="0.25">
      <c r="A67" s="4">
        <v>18</v>
      </c>
      <c r="B67" s="5" t="s">
        <v>47</v>
      </c>
      <c r="C67" s="4">
        <v>71</v>
      </c>
      <c r="D67" s="9">
        <v>17.5</v>
      </c>
      <c r="E67" s="10">
        <v>0.4375</v>
      </c>
      <c r="H67" s="4">
        <v>18</v>
      </c>
      <c r="I67" s="5" t="s">
        <v>41</v>
      </c>
      <c r="J67" s="4">
        <v>55</v>
      </c>
      <c r="K67" s="9">
        <v>18.5</v>
      </c>
      <c r="L67" s="10">
        <v>0.46250000000000002</v>
      </c>
    </row>
    <row r="68" spans="1:12" x14ac:dyDescent="0.25">
      <c r="A68" s="1">
        <v>19</v>
      </c>
      <c r="B68" s="2" t="s">
        <v>24</v>
      </c>
      <c r="C68" s="1">
        <v>66</v>
      </c>
      <c r="D68" s="7">
        <v>19</v>
      </c>
      <c r="E68" s="8">
        <v>0.47499999999999998</v>
      </c>
      <c r="H68" s="1">
        <v>19</v>
      </c>
      <c r="I68" s="2" t="s">
        <v>43</v>
      </c>
      <c r="J68" s="1">
        <v>55</v>
      </c>
      <c r="K68" s="7">
        <v>18.5</v>
      </c>
      <c r="L68" s="8">
        <v>0.46250000000000002</v>
      </c>
    </row>
    <row r="69" spans="1:12" x14ac:dyDescent="0.25">
      <c r="A69" s="4">
        <v>20</v>
      </c>
      <c r="B69" s="5" t="s">
        <v>46</v>
      </c>
      <c r="C69" s="4">
        <v>65</v>
      </c>
      <c r="D69" s="9">
        <v>20</v>
      </c>
      <c r="E69" s="10">
        <v>0.5</v>
      </c>
      <c r="H69" s="4">
        <v>20</v>
      </c>
      <c r="I69" s="5" t="s">
        <v>49</v>
      </c>
      <c r="J69" s="4">
        <v>54</v>
      </c>
      <c r="K69" s="9">
        <v>20</v>
      </c>
      <c r="L69" s="10">
        <v>0.5</v>
      </c>
    </row>
    <row r="70" spans="1:12" x14ac:dyDescent="0.25">
      <c r="A70" s="1">
        <v>21</v>
      </c>
      <c r="B70" s="2" t="s">
        <v>30</v>
      </c>
      <c r="C70" s="1">
        <v>64</v>
      </c>
      <c r="D70" s="7">
        <v>21.5</v>
      </c>
      <c r="E70" s="8">
        <v>0.53749999999999998</v>
      </c>
      <c r="H70" s="1">
        <v>21</v>
      </c>
      <c r="I70" s="2" t="s">
        <v>35</v>
      </c>
      <c r="J70" s="1">
        <v>53</v>
      </c>
      <c r="K70" s="7">
        <v>21.5</v>
      </c>
      <c r="L70" s="8">
        <v>0.53749999999999998</v>
      </c>
    </row>
    <row r="71" spans="1:12" x14ac:dyDescent="0.25">
      <c r="A71" s="4">
        <v>22</v>
      </c>
      <c r="B71" s="5" t="s">
        <v>34</v>
      </c>
      <c r="C71" s="4">
        <v>64</v>
      </c>
      <c r="D71" s="9">
        <v>21.5</v>
      </c>
      <c r="E71" s="10">
        <v>0.53749999999999998</v>
      </c>
      <c r="H71" s="4">
        <v>22</v>
      </c>
      <c r="I71" s="5" t="s">
        <v>46</v>
      </c>
      <c r="J71" s="4">
        <v>53</v>
      </c>
      <c r="K71" s="9">
        <v>21.5</v>
      </c>
      <c r="L71" s="10">
        <v>0.53749999999999998</v>
      </c>
    </row>
    <row r="72" spans="1:12" x14ac:dyDescent="0.25">
      <c r="A72" s="1">
        <v>23</v>
      </c>
      <c r="B72" s="2" t="s">
        <v>57</v>
      </c>
      <c r="C72" s="1">
        <v>63</v>
      </c>
      <c r="D72" s="7">
        <v>23</v>
      </c>
      <c r="E72" s="8">
        <v>0.57499999999999996</v>
      </c>
      <c r="H72" s="1">
        <v>23</v>
      </c>
      <c r="I72" s="2" t="s">
        <v>33</v>
      </c>
      <c r="J72" s="1">
        <v>48</v>
      </c>
      <c r="K72" s="7">
        <v>23</v>
      </c>
      <c r="L72" s="8">
        <v>0.57499999999999996</v>
      </c>
    </row>
    <row r="73" spans="1:12" x14ac:dyDescent="0.25">
      <c r="A73" s="4">
        <v>24</v>
      </c>
      <c r="B73" s="5" t="s">
        <v>28</v>
      </c>
      <c r="C73" s="4">
        <v>62</v>
      </c>
      <c r="D73" s="9">
        <v>24</v>
      </c>
      <c r="E73" s="10">
        <v>0.6</v>
      </c>
      <c r="H73" s="4">
        <v>24</v>
      </c>
      <c r="I73" s="5" t="s">
        <v>19</v>
      </c>
      <c r="J73" s="4">
        <v>47</v>
      </c>
      <c r="K73" s="9">
        <v>25</v>
      </c>
      <c r="L73" s="10">
        <v>0.625</v>
      </c>
    </row>
    <row r="74" spans="1:12" x14ac:dyDescent="0.25">
      <c r="A74" s="1">
        <v>25</v>
      </c>
      <c r="B74" s="2" t="s">
        <v>26</v>
      </c>
      <c r="C74" s="1">
        <v>61</v>
      </c>
      <c r="D74" s="7">
        <v>25.5</v>
      </c>
      <c r="E74" s="8">
        <v>0.63749999999999996</v>
      </c>
      <c r="H74" s="1">
        <v>25</v>
      </c>
      <c r="I74" s="2" t="s">
        <v>26</v>
      </c>
      <c r="J74" s="1">
        <v>47</v>
      </c>
      <c r="K74" s="7">
        <v>25</v>
      </c>
      <c r="L74" s="8">
        <v>0.625</v>
      </c>
    </row>
    <row r="75" spans="1:12" x14ac:dyDescent="0.25">
      <c r="A75" s="4">
        <v>26</v>
      </c>
      <c r="B75" s="5" t="s">
        <v>27</v>
      </c>
      <c r="C75" s="4">
        <v>61</v>
      </c>
      <c r="D75" s="9">
        <v>25.5</v>
      </c>
      <c r="E75" s="10">
        <v>0.63749999999999996</v>
      </c>
      <c r="H75" s="4">
        <v>26</v>
      </c>
      <c r="I75" s="5" t="s">
        <v>34</v>
      </c>
      <c r="J75" s="4">
        <v>47</v>
      </c>
      <c r="K75" s="9">
        <v>25</v>
      </c>
      <c r="L75" s="10">
        <v>0.625</v>
      </c>
    </row>
    <row r="76" spans="1:12" x14ac:dyDescent="0.25">
      <c r="A76" s="1">
        <v>27</v>
      </c>
      <c r="B76" s="2" t="s">
        <v>40</v>
      </c>
      <c r="C76" s="1">
        <v>60</v>
      </c>
      <c r="D76" s="7">
        <v>27.5</v>
      </c>
      <c r="E76" s="8">
        <v>0.6875</v>
      </c>
      <c r="H76" s="1">
        <v>27</v>
      </c>
      <c r="I76" s="2" t="s">
        <v>50</v>
      </c>
      <c r="J76" s="1">
        <v>46</v>
      </c>
      <c r="K76" s="7">
        <v>27</v>
      </c>
      <c r="L76" s="8">
        <v>0.67500000000000004</v>
      </c>
    </row>
    <row r="77" spans="1:12" x14ac:dyDescent="0.25">
      <c r="A77" s="4">
        <v>28</v>
      </c>
      <c r="B77" s="5" t="s">
        <v>41</v>
      </c>
      <c r="C77" s="4">
        <v>60</v>
      </c>
      <c r="D77" s="9">
        <v>27.5</v>
      </c>
      <c r="E77" s="10">
        <v>0.6875</v>
      </c>
      <c r="H77" s="4">
        <v>28</v>
      </c>
      <c r="I77" s="5" t="s">
        <v>22</v>
      </c>
      <c r="J77" s="4">
        <v>44</v>
      </c>
      <c r="K77" s="9">
        <v>28.5</v>
      </c>
      <c r="L77" s="10">
        <v>0.71250000000000002</v>
      </c>
    </row>
    <row r="78" spans="1:12" x14ac:dyDescent="0.25">
      <c r="A78" s="1">
        <v>29</v>
      </c>
      <c r="B78" s="2" t="s">
        <v>53</v>
      </c>
      <c r="C78" s="1">
        <v>58</v>
      </c>
      <c r="D78" s="7">
        <v>29</v>
      </c>
      <c r="E78" s="8">
        <v>0.72499999999999998</v>
      </c>
      <c r="H78" s="1">
        <v>29</v>
      </c>
      <c r="I78" s="2" t="s">
        <v>24</v>
      </c>
      <c r="J78" s="1">
        <v>44</v>
      </c>
      <c r="K78" s="7">
        <v>28.5</v>
      </c>
      <c r="L78" s="8">
        <v>0.71250000000000002</v>
      </c>
    </row>
    <row r="79" spans="1:12" x14ac:dyDescent="0.25">
      <c r="A79" s="4">
        <v>30</v>
      </c>
      <c r="B79" s="5" t="s">
        <v>36</v>
      </c>
      <c r="C79" s="4">
        <v>57</v>
      </c>
      <c r="D79" s="9">
        <v>30.5</v>
      </c>
      <c r="E79" s="10">
        <v>0.76249999999999996</v>
      </c>
      <c r="H79" s="4">
        <v>30</v>
      </c>
      <c r="I79" s="5" t="s">
        <v>23</v>
      </c>
      <c r="J79" s="4">
        <v>42</v>
      </c>
      <c r="K79" s="9">
        <v>30</v>
      </c>
      <c r="L79" s="10">
        <v>0.75</v>
      </c>
    </row>
    <row r="80" spans="1:12" x14ac:dyDescent="0.25">
      <c r="A80" s="1">
        <v>31</v>
      </c>
      <c r="B80" s="2" t="s">
        <v>52</v>
      </c>
      <c r="C80" s="1">
        <v>57</v>
      </c>
      <c r="D80" s="7">
        <v>30.5</v>
      </c>
      <c r="E80" s="8">
        <v>0.76249999999999996</v>
      </c>
      <c r="H80" s="1">
        <v>31</v>
      </c>
      <c r="I80" s="2" t="s">
        <v>38</v>
      </c>
      <c r="J80" s="1">
        <v>40</v>
      </c>
      <c r="K80" s="7">
        <v>31.5</v>
      </c>
      <c r="L80" s="8">
        <v>0.78749999999999998</v>
      </c>
    </row>
    <row r="81" spans="1:12" x14ac:dyDescent="0.25">
      <c r="A81" s="4">
        <v>32</v>
      </c>
      <c r="B81" s="5" t="s">
        <v>44</v>
      </c>
      <c r="C81" s="4">
        <v>56</v>
      </c>
      <c r="D81" s="9">
        <v>32.5</v>
      </c>
      <c r="E81" s="10">
        <v>0.8125</v>
      </c>
      <c r="H81" s="4">
        <v>32</v>
      </c>
      <c r="I81" s="5" t="s">
        <v>48</v>
      </c>
      <c r="J81" s="4">
        <v>40</v>
      </c>
      <c r="K81" s="9">
        <v>31.5</v>
      </c>
      <c r="L81" s="10">
        <v>0.78749999999999998</v>
      </c>
    </row>
    <row r="82" spans="1:12" x14ac:dyDescent="0.25">
      <c r="A82" s="1">
        <v>33</v>
      </c>
      <c r="B82" s="2" t="s">
        <v>45</v>
      </c>
      <c r="C82" s="1">
        <v>56</v>
      </c>
      <c r="D82" s="7">
        <v>32.5</v>
      </c>
      <c r="E82" s="8">
        <v>0.8125</v>
      </c>
      <c r="H82" s="1">
        <v>33</v>
      </c>
      <c r="I82" s="2" t="s">
        <v>44</v>
      </c>
      <c r="J82" s="1">
        <v>38</v>
      </c>
      <c r="K82" s="7">
        <v>33</v>
      </c>
      <c r="L82" s="8">
        <v>0.82499999999999996</v>
      </c>
    </row>
    <row r="83" spans="1:12" x14ac:dyDescent="0.25">
      <c r="A83" s="4">
        <v>34</v>
      </c>
      <c r="B83" s="5" t="s">
        <v>38</v>
      </c>
      <c r="C83" s="4">
        <v>55</v>
      </c>
      <c r="D83" s="9">
        <v>34</v>
      </c>
      <c r="E83" s="10">
        <v>0.85</v>
      </c>
      <c r="H83" s="4">
        <v>34</v>
      </c>
      <c r="I83" s="5" t="s">
        <v>51</v>
      </c>
      <c r="J83" s="4">
        <v>37</v>
      </c>
      <c r="K83" s="9">
        <v>34</v>
      </c>
      <c r="L83" s="10">
        <v>0.85</v>
      </c>
    </row>
    <row r="84" spans="1:12" x14ac:dyDescent="0.25">
      <c r="A84" s="1">
        <v>35</v>
      </c>
      <c r="B84" s="2" t="s">
        <v>22</v>
      </c>
      <c r="C84" s="1">
        <v>53</v>
      </c>
      <c r="D84" s="7">
        <v>35</v>
      </c>
      <c r="E84" s="8">
        <v>0.875</v>
      </c>
      <c r="H84" s="1">
        <v>35</v>
      </c>
      <c r="I84" s="2" t="s">
        <v>20</v>
      </c>
      <c r="J84" s="1">
        <v>36</v>
      </c>
      <c r="K84" s="7">
        <v>35.5</v>
      </c>
      <c r="L84" s="8">
        <v>0.88749999999999996</v>
      </c>
    </row>
    <row r="85" spans="1:12" x14ac:dyDescent="0.25">
      <c r="A85" s="4">
        <v>36</v>
      </c>
      <c r="B85" s="5" t="s">
        <v>55</v>
      </c>
      <c r="C85" s="4">
        <v>51</v>
      </c>
      <c r="D85" s="9">
        <v>36</v>
      </c>
      <c r="E85" s="10">
        <v>0.9</v>
      </c>
      <c r="H85" s="4">
        <v>36</v>
      </c>
      <c r="I85" s="5" t="s">
        <v>27</v>
      </c>
      <c r="J85" s="4">
        <v>36</v>
      </c>
      <c r="K85" s="9">
        <v>35.5</v>
      </c>
      <c r="L85" s="10">
        <v>0.88749999999999996</v>
      </c>
    </row>
    <row r="86" spans="1:12" x14ac:dyDescent="0.25">
      <c r="A86" s="1">
        <v>37</v>
      </c>
      <c r="B86" s="2" t="s">
        <v>35</v>
      </c>
      <c r="C86" s="1">
        <v>50</v>
      </c>
      <c r="D86" s="7">
        <v>37</v>
      </c>
      <c r="E86" s="8">
        <v>0.92500000000000004</v>
      </c>
      <c r="H86" s="1">
        <v>37</v>
      </c>
      <c r="I86" s="2" t="s">
        <v>30</v>
      </c>
      <c r="J86" s="1">
        <v>35</v>
      </c>
      <c r="K86" s="7">
        <v>37.5</v>
      </c>
      <c r="L86" s="8">
        <v>0.9375</v>
      </c>
    </row>
    <row r="87" spans="1:12" x14ac:dyDescent="0.25">
      <c r="A87" s="4">
        <v>38</v>
      </c>
      <c r="B87" s="5" t="s">
        <v>49</v>
      </c>
      <c r="C87" s="4">
        <v>44</v>
      </c>
      <c r="D87" s="9">
        <v>38</v>
      </c>
      <c r="E87" s="10">
        <v>0.95</v>
      </c>
      <c r="H87" s="4">
        <v>38</v>
      </c>
      <c r="I87" s="5" t="s">
        <v>47</v>
      </c>
      <c r="J87" s="4">
        <v>35</v>
      </c>
      <c r="K87" s="9">
        <v>37.5</v>
      </c>
      <c r="L87" s="10">
        <v>0.9375</v>
      </c>
    </row>
    <row r="88" spans="1:12" ht="19.5" customHeight="1" x14ac:dyDescent="0.25">
      <c r="A88" s="1">
        <v>39</v>
      </c>
      <c r="B88" s="2" t="s">
        <v>29</v>
      </c>
      <c r="C88" s="1">
        <v>42</v>
      </c>
      <c r="D88" s="7">
        <v>39</v>
      </c>
      <c r="E88" s="8">
        <v>0.97499999999999998</v>
      </c>
      <c r="H88" s="1">
        <v>39</v>
      </c>
      <c r="I88" s="2" t="s">
        <v>32</v>
      </c>
      <c r="J88" s="1">
        <v>34</v>
      </c>
      <c r="K88" s="7">
        <v>39</v>
      </c>
      <c r="L88" s="8">
        <v>0.97499999999999998</v>
      </c>
    </row>
    <row r="89" spans="1:12" x14ac:dyDescent="0.25">
      <c r="A89" s="4">
        <v>40</v>
      </c>
      <c r="B89" s="5" t="s">
        <v>25</v>
      </c>
      <c r="C89" s="4">
        <v>40</v>
      </c>
      <c r="D89" s="9">
        <v>40</v>
      </c>
      <c r="E89" s="10">
        <v>1</v>
      </c>
      <c r="H89" s="4">
        <v>40</v>
      </c>
      <c r="I89" s="5" t="s">
        <v>58</v>
      </c>
      <c r="J89" s="4">
        <v>30</v>
      </c>
      <c r="K89" s="9">
        <v>40</v>
      </c>
      <c r="L89" s="10">
        <v>1</v>
      </c>
    </row>
    <row r="131" ht="19.5" customHeight="1" x14ac:dyDescent="0.25"/>
    <row r="174" ht="19.5" customHeight="1" x14ac:dyDescent="0.25"/>
  </sheetData>
  <mergeCells count="6">
    <mergeCell ref="H48:L48"/>
    <mergeCell ref="A1:E1"/>
    <mergeCell ref="A2:E2"/>
    <mergeCell ref="H2:L2"/>
    <mergeCell ref="O2:S2"/>
    <mergeCell ref="A48:E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zoomScaleNormal="100" workbookViewId="0">
      <selection activeCell="E6" sqref="E6"/>
    </sheetView>
  </sheetViews>
  <sheetFormatPr defaultColWidth="8.7109375" defaultRowHeight="15" x14ac:dyDescent="0.25"/>
  <cols>
    <col min="1" max="1" width="6" customWidth="1"/>
    <col min="2" max="7" width="16" customWidth="1"/>
  </cols>
  <sheetData>
    <row r="1" spans="1:8" ht="27.75" customHeight="1" x14ac:dyDescent="0.25">
      <c r="A1" s="37" t="s">
        <v>68</v>
      </c>
      <c r="B1" s="37"/>
      <c r="C1" s="37"/>
      <c r="D1" s="37"/>
      <c r="E1" s="37"/>
      <c r="F1" s="37"/>
      <c r="G1" s="37"/>
      <c r="H1" s="35"/>
    </row>
    <row r="2" spans="1:8" x14ac:dyDescent="0.25">
      <c r="A2" s="27" t="s">
        <v>2</v>
      </c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35"/>
    </row>
    <row r="3" spans="1:8" x14ac:dyDescent="0.25">
      <c r="A3" s="32">
        <v>1</v>
      </c>
      <c r="B3" s="33" t="s">
        <v>19</v>
      </c>
      <c r="C3" s="34">
        <v>0.2</v>
      </c>
      <c r="D3" s="34">
        <v>0.91249999999999998</v>
      </c>
      <c r="E3" s="34">
        <v>0.96250000000000002</v>
      </c>
      <c r="F3" s="34">
        <v>6.25E-2</v>
      </c>
      <c r="G3" s="34">
        <v>0.625</v>
      </c>
      <c r="H3" s="35"/>
    </row>
    <row r="4" spans="1:8" x14ac:dyDescent="0.25">
      <c r="A4" s="1">
        <v>2</v>
      </c>
      <c r="B4" s="2" t="s">
        <v>20</v>
      </c>
      <c r="C4" s="8">
        <v>0.66249999999999998</v>
      </c>
      <c r="D4" s="8">
        <v>0.71250000000000002</v>
      </c>
      <c r="E4" s="8">
        <v>0.72499999999999998</v>
      </c>
      <c r="F4" s="8">
        <v>6.25E-2</v>
      </c>
      <c r="G4" s="8">
        <v>0.88749999999999996</v>
      </c>
    </row>
    <row r="5" spans="1:8" x14ac:dyDescent="0.25">
      <c r="A5" s="4">
        <v>3</v>
      </c>
      <c r="B5" s="5" t="s">
        <v>21</v>
      </c>
      <c r="C5" s="10">
        <v>6.25E-2</v>
      </c>
      <c r="D5" s="10">
        <v>0.375</v>
      </c>
      <c r="E5" s="10">
        <v>0.86250000000000004</v>
      </c>
      <c r="F5" s="10">
        <v>0.3</v>
      </c>
      <c r="G5" s="10">
        <v>0.41249999999999998</v>
      </c>
    </row>
    <row r="6" spans="1:8" x14ac:dyDescent="0.25">
      <c r="A6" s="1">
        <v>4</v>
      </c>
      <c r="B6" s="2" t="s">
        <v>22</v>
      </c>
      <c r="C6" s="8">
        <v>0.98750000000000004</v>
      </c>
      <c r="D6" s="8">
        <v>0.97499999999999998</v>
      </c>
      <c r="E6" s="8">
        <v>0.86250000000000004</v>
      </c>
      <c r="F6" s="8">
        <v>0.875</v>
      </c>
      <c r="G6" s="8">
        <v>0.71250000000000002</v>
      </c>
    </row>
    <row r="7" spans="1:8" x14ac:dyDescent="0.25">
      <c r="A7" s="4">
        <v>5</v>
      </c>
      <c r="B7" s="5" t="s">
        <v>23</v>
      </c>
      <c r="C7" s="10">
        <v>0.35</v>
      </c>
      <c r="D7" s="10">
        <v>0.2</v>
      </c>
      <c r="E7" s="10">
        <v>0.96250000000000002</v>
      </c>
      <c r="F7" s="10">
        <v>0.35</v>
      </c>
      <c r="G7" s="10">
        <v>0.75</v>
      </c>
    </row>
    <row r="8" spans="1:8" x14ac:dyDescent="0.25">
      <c r="A8" s="1">
        <v>6</v>
      </c>
      <c r="B8" s="2" t="s">
        <v>24</v>
      </c>
      <c r="C8" s="8">
        <v>0.15</v>
      </c>
      <c r="D8" s="8">
        <v>3.7499999999999999E-2</v>
      </c>
      <c r="E8" s="8">
        <v>0.33750000000000002</v>
      </c>
      <c r="F8" s="8">
        <v>0.47499999999999998</v>
      </c>
      <c r="G8" s="8">
        <v>0.71250000000000002</v>
      </c>
    </row>
    <row r="9" spans="1:8" x14ac:dyDescent="0.25">
      <c r="A9" s="4">
        <v>7</v>
      </c>
      <c r="B9" s="5" t="s">
        <v>25</v>
      </c>
      <c r="C9" s="10">
        <v>0.45</v>
      </c>
      <c r="D9" s="10">
        <v>0.25</v>
      </c>
      <c r="E9" s="10">
        <v>0.51249999999999996</v>
      </c>
      <c r="F9" s="10">
        <v>1</v>
      </c>
      <c r="G9" s="10">
        <v>0.13750000000000001</v>
      </c>
    </row>
    <row r="10" spans="1:8" x14ac:dyDescent="0.25">
      <c r="A10" s="1">
        <v>8</v>
      </c>
      <c r="B10" s="2" t="s">
        <v>26</v>
      </c>
      <c r="C10" s="8">
        <v>0.76249999999999996</v>
      </c>
      <c r="D10" s="8">
        <v>3.7499999999999999E-2</v>
      </c>
      <c r="E10" s="8">
        <v>0.42499999999999999</v>
      </c>
      <c r="F10" s="8">
        <v>0.63749999999999996</v>
      </c>
      <c r="G10" s="8">
        <v>0.625</v>
      </c>
    </row>
    <row r="11" spans="1:8" x14ac:dyDescent="0.25">
      <c r="A11" s="4">
        <v>9</v>
      </c>
      <c r="B11" s="5" t="s">
        <v>27</v>
      </c>
      <c r="C11" s="10">
        <v>0.82499999999999996</v>
      </c>
      <c r="D11" s="10">
        <v>0.8</v>
      </c>
      <c r="E11" s="10">
        <v>7.4999999999999997E-2</v>
      </c>
      <c r="F11" s="10">
        <v>0.63749999999999996</v>
      </c>
      <c r="G11" s="10">
        <v>0.88749999999999996</v>
      </c>
    </row>
    <row r="12" spans="1:8" x14ac:dyDescent="0.25">
      <c r="A12" s="1">
        <v>10</v>
      </c>
      <c r="B12" s="2" t="s">
        <v>28</v>
      </c>
      <c r="C12" s="8">
        <v>0.88749999999999996</v>
      </c>
      <c r="D12" s="8">
        <v>0.58750000000000002</v>
      </c>
      <c r="E12" s="8">
        <v>0.8125</v>
      </c>
      <c r="F12" s="8">
        <v>0.6</v>
      </c>
      <c r="G12" s="8">
        <v>0.05</v>
      </c>
    </row>
    <row r="13" spans="1:8" x14ac:dyDescent="0.25">
      <c r="A13" s="4">
        <v>11</v>
      </c>
      <c r="B13" s="5" t="s">
        <v>29</v>
      </c>
      <c r="C13" s="10">
        <v>0.53749999999999998</v>
      </c>
      <c r="D13" s="10">
        <v>0.2</v>
      </c>
      <c r="E13" s="10">
        <v>0.55000000000000004</v>
      </c>
      <c r="F13" s="10">
        <v>0.97499999999999998</v>
      </c>
      <c r="G13" s="10">
        <v>0.21249999999999999</v>
      </c>
    </row>
    <row r="14" spans="1:8" x14ac:dyDescent="0.25">
      <c r="A14" s="1">
        <v>12</v>
      </c>
      <c r="B14" s="2" t="s">
        <v>30</v>
      </c>
      <c r="C14" s="8">
        <v>0.4</v>
      </c>
      <c r="D14" s="8">
        <v>0.375</v>
      </c>
      <c r="E14" s="8">
        <v>0.76249999999999996</v>
      </c>
      <c r="F14" s="8">
        <v>0.53749999999999998</v>
      </c>
      <c r="G14" s="8">
        <v>0.9375</v>
      </c>
    </row>
    <row r="15" spans="1:8" x14ac:dyDescent="0.25">
      <c r="A15" s="4">
        <v>13</v>
      </c>
      <c r="B15" s="5" t="s">
        <v>31</v>
      </c>
      <c r="C15" s="10">
        <v>0.3</v>
      </c>
      <c r="D15" s="10">
        <v>0.65</v>
      </c>
      <c r="E15" s="10">
        <v>0.25</v>
      </c>
      <c r="F15" s="10">
        <v>0.25</v>
      </c>
      <c r="G15" s="10">
        <v>2.5000000000000001E-2</v>
      </c>
    </row>
    <row r="16" spans="1:8" x14ac:dyDescent="0.25">
      <c r="A16" s="1">
        <v>14</v>
      </c>
      <c r="B16" s="2" t="s">
        <v>32</v>
      </c>
      <c r="C16" s="8">
        <v>0.5</v>
      </c>
      <c r="D16" s="8">
        <v>0.27500000000000002</v>
      </c>
      <c r="E16" s="8">
        <v>0.625</v>
      </c>
      <c r="F16" s="8">
        <v>0.15</v>
      </c>
      <c r="G16" s="8">
        <v>0.97499999999999998</v>
      </c>
    </row>
    <row r="17" spans="1:7" x14ac:dyDescent="0.25">
      <c r="A17" s="4">
        <v>15</v>
      </c>
      <c r="B17" s="5" t="s">
        <v>33</v>
      </c>
      <c r="C17" s="10">
        <v>0.98750000000000004</v>
      </c>
      <c r="D17" s="10">
        <v>7.4999999999999997E-2</v>
      </c>
      <c r="E17" s="10">
        <v>0.57499999999999996</v>
      </c>
      <c r="F17" s="10">
        <v>2.5000000000000001E-2</v>
      </c>
      <c r="G17" s="10">
        <v>0.57499999999999996</v>
      </c>
    </row>
    <row r="18" spans="1:7" x14ac:dyDescent="0.25">
      <c r="A18" s="1">
        <v>16</v>
      </c>
      <c r="B18" s="2" t="s">
        <v>34</v>
      </c>
      <c r="C18" s="8">
        <v>0.88749999999999996</v>
      </c>
      <c r="D18" s="8">
        <v>0.71250000000000002</v>
      </c>
      <c r="E18" s="8">
        <v>0.8125</v>
      </c>
      <c r="F18" s="8">
        <v>0.53749999999999998</v>
      </c>
      <c r="G18" s="8">
        <v>0.625</v>
      </c>
    </row>
    <row r="19" spans="1:7" x14ac:dyDescent="0.25">
      <c r="A19" s="4">
        <v>17</v>
      </c>
      <c r="B19" s="5" t="s">
        <v>35</v>
      </c>
      <c r="C19" s="10">
        <v>0.4</v>
      </c>
      <c r="D19" s="10">
        <v>0.13750000000000001</v>
      </c>
      <c r="E19" s="10">
        <v>0.45</v>
      </c>
      <c r="F19" s="10">
        <v>0.92500000000000004</v>
      </c>
      <c r="G19" s="10">
        <v>0.53749999999999998</v>
      </c>
    </row>
    <row r="20" spans="1:7" x14ac:dyDescent="0.25">
      <c r="A20" s="1">
        <v>18</v>
      </c>
      <c r="B20" s="2" t="s">
        <v>36</v>
      </c>
      <c r="C20" s="8">
        <v>0.53749999999999998</v>
      </c>
      <c r="D20" s="8">
        <v>0.8</v>
      </c>
      <c r="E20" s="8">
        <v>0.2</v>
      </c>
      <c r="F20" s="8">
        <v>0.76249999999999996</v>
      </c>
      <c r="G20" s="8">
        <v>0.28749999999999998</v>
      </c>
    </row>
    <row r="21" spans="1:7" x14ac:dyDescent="0.25">
      <c r="A21" s="4">
        <v>19</v>
      </c>
      <c r="B21" s="5" t="s">
        <v>37</v>
      </c>
      <c r="C21" s="10">
        <v>6.25E-2</v>
      </c>
      <c r="D21" s="10">
        <v>0.1</v>
      </c>
      <c r="E21" s="10">
        <v>0.9</v>
      </c>
      <c r="F21" s="10">
        <v>0.27500000000000002</v>
      </c>
      <c r="G21" s="10">
        <v>0.32500000000000001</v>
      </c>
    </row>
    <row r="22" spans="1:7" x14ac:dyDescent="0.25">
      <c r="A22" s="1">
        <v>20</v>
      </c>
      <c r="B22" s="2" t="s">
        <v>38</v>
      </c>
      <c r="C22" s="8">
        <v>0.76249999999999996</v>
      </c>
      <c r="D22" s="8">
        <v>0.375</v>
      </c>
      <c r="E22" s="8">
        <v>0.125</v>
      </c>
      <c r="F22" s="8">
        <v>0.85</v>
      </c>
      <c r="G22" s="8">
        <v>0.78749999999999998</v>
      </c>
    </row>
    <row r="23" spans="1:7" x14ac:dyDescent="0.25">
      <c r="A23" s="4">
        <v>21</v>
      </c>
      <c r="B23" s="5" t="s">
        <v>39</v>
      </c>
      <c r="C23" s="10">
        <v>0.4</v>
      </c>
      <c r="D23" s="10">
        <v>0.58750000000000002</v>
      </c>
      <c r="E23" s="10">
        <v>0.51249999999999996</v>
      </c>
      <c r="F23" s="10">
        <v>0.2</v>
      </c>
      <c r="G23" s="10">
        <v>0.28749999999999998</v>
      </c>
    </row>
    <row r="24" spans="1:7" x14ac:dyDescent="0.25">
      <c r="A24" s="1">
        <v>22</v>
      </c>
      <c r="B24" s="2" t="s">
        <v>40</v>
      </c>
      <c r="C24" s="8">
        <v>0.3</v>
      </c>
      <c r="D24" s="8">
        <v>0.71250000000000002</v>
      </c>
      <c r="E24" s="8">
        <v>0.16250000000000001</v>
      </c>
      <c r="F24" s="8">
        <v>0.6875</v>
      </c>
      <c r="G24" s="8">
        <v>7.4999999999999997E-2</v>
      </c>
    </row>
    <row r="25" spans="1:7" x14ac:dyDescent="0.25">
      <c r="A25" s="4">
        <v>23</v>
      </c>
      <c r="B25" s="5" t="s">
        <v>41</v>
      </c>
      <c r="C25" s="10">
        <v>0.9375</v>
      </c>
      <c r="D25" s="10">
        <v>0.71250000000000002</v>
      </c>
      <c r="E25" s="10">
        <v>0.92500000000000004</v>
      </c>
      <c r="F25" s="10">
        <v>0.6875</v>
      </c>
      <c r="G25" s="10">
        <v>0.46250000000000002</v>
      </c>
    </row>
    <row r="26" spans="1:7" x14ac:dyDescent="0.25">
      <c r="A26" s="1">
        <v>24</v>
      </c>
      <c r="B26" s="2" t="s">
        <v>42</v>
      </c>
      <c r="C26" s="8">
        <v>0.6</v>
      </c>
      <c r="D26" s="8">
        <v>0.95</v>
      </c>
      <c r="E26" s="8">
        <v>0.6</v>
      </c>
      <c r="F26" s="8">
        <v>0.32500000000000001</v>
      </c>
      <c r="G26" s="8">
        <v>0.25</v>
      </c>
    </row>
    <row r="27" spans="1:7" x14ac:dyDescent="0.25">
      <c r="A27" s="4">
        <v>25</v>
      </c>
      <c r="B27" s="5" t="s">
        <v>43</v>
      </c>
      <c r="C27" s="10">
        <v>0.57499999999999996</v>
      </c>
      <c r="D27" s="10">
        <v>0.8</v>
      </c>
      <c r="E27" s="10">
        <v>0.22500000000000001</v>
      </c>
      <c r="F27" s="10">
        <v>0.4375</v>
      </c>
      <c r="G27" s="10">
        <v>0.46250000000000002</v>
      </c>
    </row>
    <row r="28" spans="1:7" x14ac:dyDescent="0.25">
      <c r="A28" s="1">
        <v>26</v>
      </c>
      <c r="B28" s="2" t="s">
        <v>44</v>
      </c>
      <c r="C28" s="8">
        <v>0.15</v>
      </c>
      <c r="D28" s="8">
        <v>0.48749999999999999</v>
      </c>
      <c r="E28" s="8">
        <v>0.67500000000000004</v>
      </c>
      <c r="F28" s="8">
        <v>0.8125</v>
      </c>
      <c r="G28" s="8">
        <v>0.82499999999999996</v>
      </c>
    </row>
    <row r="29" spans="1:7" x14ac:dyDescent="0.25">
      <c r="A29" s="4">
        <v>27</v>
      </c>
      <c r="B29" s="5" t="s">
        <v>45</v>
      </c>
      <c r="C29" s="10">
        <v>0.66249999999999998</v>
      </c>
      <c r="D29" s="10">
        <v>0.3</v>
      </c>
      <c r="E29" s="10">
        <v>0.33750000000000002</v>
      </c>
      <c r="F29" s="10">
        <v>0.8125</v>
      </c>
      <c r="G29" s="10">
        <v>0.17499999999999999</v>
      </c>
    </row>
    <row r="30" spans="1:7" x14ac:dyDescent="0.25">
      <c r="A30" s="1">
        <v>28</v>
      </c>
      <c r="B30" s="2" t="s">
        <v>46</v>
      </c>
      <c r="C30" s="8">
        <v>0.25</v>
      </c>
      <c r="D30" s="8">
        <v>0.53749999999999998</v>
      </c>
      <c r="E30" s="8">
        <v>0.3</v>
      </c>
      <c r="F30" s="8">
        <v>0.5</v>
      </c>
      <c r="G30" s="8">
        <v>0.53749999999999998</v>
      </c>
    </row>
    <row r="31" spans="1:7" x14ac:dyDescent="0.25">
      <c r="A31" s="4">
        <v>29</v>
      </c>
      <c r="B31" s="5" t="s">
        <v>47</v>
      </c>
      <c r="C31" s="10">
        <v>0.7</v>
      </c>
      <c r="D31" s="10">
        <v>0.875</v>
      </c>
      <c r="E31" s="10">
        <v>0.375</v>
      </c>
      <c r="F31" s="10">
        <v>0.4375</v>
      </c>
      <c r="G31" s="10">
        <v>0.9375</v>
      </c>
    </row>
    <row r="32" spans="1:7" x14ac:dyDescent="0.25">
      <c r="A32" s="1">
        <v>30</v>
      </c>
      <c r="B32" s="2" t="s">
        <v>48</v>
      </c>
      <c r="C32" s="8">
        <v>0.9375</v>
      </c>
      <c r="D32" s="8">
        <v>0.91249999999999998</v>
      </c>
      <c r="E32" s="8">
        <v>0.67500000000000004</v>
      </c>
      <c r="F32" s="8">
        <v>0.2</v>
      </c>
      <c r="G32" s="8">
        <v>0.78749999999999998</v>
      </c>
    </row>
    <row r="33" spans="1:7" x14ac:dyDescent="0.25">
      <c r="A33" s="4">
        <v>31</v>
      </c>
      <c r="B33" s="5" t="s">
        <v>49</v>
      </c>
      <c r="C33" s="10">
        <v>6.25E-2</v>
      </c>
      <c r="D33" s="10">
        <v>0.53749999999999998</v>
      </c>
      <c r="E33" s="10">
        <v>0.27500000000000002</v>
      </c>
      <c r="F33" s="10">
        <v>0.95</v>
      </c>
      <c r="G33" s="10">
        <v>0.5</v>
      </c>
    </row>
    <row r="34" spans="1:7" x14ac:dyDescent="0.25">
      <c r="A34" s="1">
        <v>32</v>
      </c>
      <c r="B34" s="2" t="s">
        <v>50</v>
      </c>
      <c r="C34" s="8">
        <v>0.47499999999999998</v>
      </c>
      <c r="D34" s="8">
        <v>0.2</v>
      </c>
      <c r="E34" s="8">
        <v>0.4</v>
      </c>
      <c r="F34" s="8">
        <v>0.38750000000000001</v>
      </c>
      <c r="G34" s="8">
        <v>0.67500000000000004</v>
      </c>
    </row>
    <row r="35" spans="1:7" x14ac:dyDescent="0.25">
      <c r="A35" s="4">
        <v>33</v>
      </c>
      <c r="B35" s="5" t="s">
        <v>51</v>
      </c>
      <c r="C35" s="10">
        <v>0.3</v>
      </c>
      <c r="D35" s="10">
        <v>1</v>
      </c>
      <c r="E35" s="10">
        <v>0.16250000000000001</v>
      </c>
      <c r="F35" s="10">
        <v>0.1125</v>
      </c>
      <c r="G35" s="10">
        <v>0.85</v>
      </c>
    </row>
    <row r="36" spans="1:7" x14ac:dyDescent="0.25">
      <c r="A36" s="1">
        <v>34</v>
      </c>
      <c r="B36" s="2" t="s">
        <v>52</v>
      </c>
      <c r="C36" s="8">
        <v>6.25E-2</v>
      </c>
      <c r="D36" s="8">
        <v>0.375</v>
      </c>
      <c r="E36" s="8">
        <v>7.4999999999999997E-2</v>
      </c>
      <c r="F36" s="8">
        <v>0.76249999999999996</v>
      </c>
      <c r="G36" s="8">
        <v>0.1</v>
      </c>
    </row>
    <row r="37" spans="1:7" x14ac:dyDescent="0.25">
      <c r="A37" s="4">
        <v>35</v>
      </c>
      <c r="B37" s="5" t="s">
        <v>53</v>
      </c>
      <c r="C37" s="10">
        <v>0.15</v>
      </c>
      <c r="D37" s="10">
        <v>0.625</v>
      </c>
      <c r="E37" s="10">
        <v>0.76249999999999996</v>
      </c>
      <c r="F37" s="10">
        <v>0.72499999999999998</v>
      </c>
      <c r="G37" s="10">
        <v>0.41249999999999998</v>
      </c>
    </row>
    <row r="38" spans="1:7" x14ac:dyDescent="0.25">
      <c r="A38" s="1">
        <v>36</v>
      </c>
      <c r="B38" s="2" t="s">
        <v>54</v>
      </c>
      <c r="C38" s="8">
        <v>0.76249999999999996</v>
      </c>
      <c r="D38" s="8">
        <v>0.48749999999999999</v>
      </c>
      <c r="E38" s="8">
        <v>1</v>
      </c>
      <c r="F38" s="8">
        <v>0.1125</v>
      </c>
      <c r="G38" s="8">
        <v>0.21249999999999999</v>
      </c>
    </row>
    <row r="39" spans="1:7" x14ac:dyDescent="0.25">
      <c r="A39" s="4">
        <v>37</v>
      </c>
      <c r="B39" s="5" t="s">
        <v>55</v>
      </c>
      <c r="C39" s="10">
        <v>0.625</v>
      </c>
      <c r="D39" s="10">
        <v>0.45</v>
      </c>
      <c r="E39" s="10">
        <v>7.4999999999999997E-2</v>
      </c>
      <c r="F39" s="10">
        <v>0.9</v>
      </c>
      <c r="G39" s="10">
        <v>0.36249999999999999</v>
      </c>
    </row>
    <row r="40" spans="1:7" x14ac:dyDescent="0.25">
      <c r="A40" s="1">
        <v>38</v>
      </c>
      <c r="B40" s="2" t="s">
        <v>56</v>
      </c>
      <c r="C40" s="8">
        <v>0.85</v>
      </c>
      <c r="D40" s="8">
        <v>0.13750000000000001</v>
      </c>
      <c r="E40" s="8">
        <v>0.47499999999999998</v>
      </c>
      <c r="F40" s="8">
        <v>0.2</v>
      </c>
      <c r="G40" s="8">
        <v>0.36249999999999999</v>
      </c>
    </row>
    <row r="41" spans="1:7" x14ac:dyDescent="0.25">
      <c r="A41" s="4">
        <v>39</v>
      </c>
      <c r="B41" s="5" t="s">
        <v>57</v>
      </c>
      <c r="C41" s="10">
        <v>0.22500000000000001</v>
      </c>
      <c r="D41" s="10">
        <v>0.85</v>
      </c>
      <c r="E41" s="10">
        <v>0.67500000000000004</v>
      </c>
      <c r="F41" s="10">
        <v>0.57499999999999996</v>
      </c>
      <c r="G41" s="10">
        <v>0.13750000000000001</v>
      </c>
    </row>
    <row r="42" spans="1:7" x14ac:dyDescent="0.25">
      <c r="A42" s="1">
        <v>40</v>
      </c>
      <c r="B42" s="2" t="s">
        <v>58</v>
      </c>
      <c r="C42" s="8">
        <v>0.76249999999999996</v>
      </c>
      <c r="D42" s="8">
        <v>0.375</v>
      </c>
      <c r="E42" s="8">
        <v>2.5000000000000001E-2</v>
      </c>
      <c r="F42" s="8">
        <v>0.38750000000000001</v>
      </c>
      <c r="G42" s="8"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zoomScale="139" zoomScaleNormal="100" workbookViewId="0">
      <selection activeCell="I5" sqref="I5"/>
    </sheetView>
  </sheetViews>
  <sheetFormatPr defaultColWidth="8.7109375" defaultRowHeight="15" x14ac:dyDescent="0.25"/>
  <cols>
    <col min="1" max="1" width="6" customWidth="1"/>
    <col min="2" max="2" width="16" customWidth="1"/>
    <col min="3" max="7" width="13" customWidth="1"/>
    <col min="8" max="8" width="14" customWidth="1"/>
  </cols>
  <sheetData>
    <row r="1" spans="1:9" ht="27.75" customHeight="1" x14ac:dyDescent="0.25">
      <c r="A1" s="37" t="s">
        <v>69</v>
      </c>
      <c r="B1" s="37"/>
      <c r="C1" s="37"/>
      <c r="D1" s="37"/>
      <c r="E1" s="37"/>
      <c r="F1" s="37"/>
      <c r="G1" s="37"/>
      <c r="H1" s="37"/>
    </row>
    <row r="2" spans="1:9" x14ac:dyDescent="0.25">
      <c r="A2" s="42" t="s">
        <v>70</v>
      </c>
      <c r="B2" s="42"/>
      <c r="C2" s="42"/>
      <c r="D2" s="42"/>
      <c r="E2" s="43"/>
      <c r="F2" s="43"/>
      <c r="G2" s="43"/>
      <c r="H2" s="43"/>
    </row>
    <row r="3" spans="1:9" x14ac:dyDescent="0.25">
      <c r="A3" s="27" t="s">
        <v>2</v>
      </c>
      <c r="B3" s="27" t="s">
        <v>13</v>
      </c>
      <c r="C3" s="27" t="s">
        <v>71</v>
      </c>
      <c r="D3" s="27" t="s">
        <v>72</v>
      </c>
      <c r="E3" s="27" t="s">
        <v>73</v>
      </c>
      <c r="F3" s="27" t="s">
        <v>74</v>
      </c>
      <c r="G3" s="27" t="s">
        <v>75</v>
      </c>
      <c r="H3" s="27" t="s">
        <v>76</v>
      </c>
    </row>
    <row r="4" spans="1:9" x14ac:dyDescent="0.25">
      <c r="A4" s="4">
        <v>1</v>
      </c>
      <c r="B4" s="5" t="s">
        <v>19</v>
      </c>
      <c r="C4" s="11">
        <v>13.964</v>
      </c>
      <c r="D4" s="11">
        <v>63.314999999999998</v>
      </c>
      <c r="E4" s="11">
        <v>66.885999999999996</v>
      </c>
      <c r="F4" s="11">
        <v>8.17</v>
      </c>
      <c r="G4" s="11">
        <v>44.158999999999999</v>
      </c>
      <c r="H4" s="12">
        <v>196.494</v>
      </c>
      <c r="I4" s="36"/>
    </row>
    <row r="5" spans="1:9" x14ac:dyDescent="0.25">
      <c r="A5" s="1">
        <v>2</v>
      </c>
      <c r="B5" s="2" t="s">
        <v>20</v>
      </c>
      <c r="C5" s="13">
        <v>45.932000000000002</v>
      </c>
      <c r="D5" s="13">
        <v>49.484999999999999</v>
      </c>
      <c r="E5" s="13">
        <v>50.497999999999998</v>
      </c>
      <c r="F5" s="13">
        <v>8.17</v>
      </c>
      <c r="G5" s="13">
        <v>62.094999999999999</v>
      </c>
      <c r="H5" s="14">
        <v>216.18</v>
      </c>
      <c r="I5" s="36">
        <f>'Distance Score'!D5</f>
        <v>49.484999999999999</v>
      </c>
    </row>
    <row r="6" spans="1:9" x14ac:dyDescent="0.25">
      <c r="A6" s="4">
        <v>3</v>
      </c>
      <c r="B6" s="5" t="s">
        <v>21</v>
      </c>
      <c r="C6" s="11">
        <v>4.6639999999999997</v>
      </c>
      <c r="D6" s="11">
        <v>26.210999999999999</v>
      </c>
      <c r="E6" s="11">
        <v>59.981000000000002</v>
      </c>
      <c r="F6" s="11">
        <v>21.908999999999999</v>
      </c>
      <c r="G6" s="11">
        <v>29.861999999999998</v>
      </c>
      <c r="H6" s="12">
        <v>142.62700000000001</v>
      </c>
      <c r="I6" s="36">
        <f>'Distance Score'!D6</f>
        <v>26.210999999999999</v>
      </c>
    </row>
    <row r="7" spans="1:9" x14ac:dyDescent="0.25">
      <c r="A7" s="1">
        <v>4</v>
      </c>
      <c r="B7" s="2" t="s">
        <v>22</v>
      </c>
      <c r="C7" s="13">
        <v>68.438000000000002</v>
      </c>
      <c r="D7" s="13">
        <v>67.638999999999996</v>
      </c>
      <c r="E7" s="13">
        <v>59.981000000000002</v>
      </c>
      <c r="F7" s="13">
        <v>61.015999999999998</v>
      </c>
      <c r="G7" s="13">
        <v>50.116999999999997</v>
      </c>
      <c r="H7" s="14">
        <v>307.19099999999997</v>
      </c>
      <c r="I7" s="36">
        <f>'Distance Score'!D7</f>
        <v>67.638999999999996</v>
      </c>
    </row>
    <row r="8" spans="1:9" x14ac:dyDescent="0.25">
      <c r="A8" s="4">
        <v>5</v>
      </c>
      <c r="B8" s="5" t="s">
        <v>23</v>
      </c>
      <c r="C8" s="11">
        <v>24.31</v>
      </c>
      <c r="D8" s="11">
        <v>14.282999999999999</v>
      </c>
      <c r="E8" s="11">
        <v>66.885999999999996</v>
      </c>
      <c r="F8" s="11">
        <v>25.219000000000001</v>
      </c>
      <c r="G8" s="11">
        <v>52.677999999999997</v>
      </c>
      <c r="H8" s="12">
        <v>183.376</v>
      </c>
      <c r="I8" s="36">
        <f>'Distance Score'!D8</f>
        <v>14.282999999999999</v>
      </c>
    </row>
    <row r="9" spans="1:9" x14ac:dyDescent="0.25">
      <c r="A9" s="1">
        <v>6</v>
      </c>
      <c r="B9" s="2" t="s">
        <v>24</v>
      </c>
      <c r="C9" s="13">
        <v>10.536</v>
      </c>
      <c r="D9" s="13">
        <v>4.33</v>
      </c>
      <c r="E9" s="13">
        <v>23.952999999999999</v>
      </c>
      <c r="F9" s="13">
        <v>33.630000000000003</v>
      </c>
      <c r="G9" s="13">
        <v>50.116999999999997</v>
      </c>
      <c r="H9" s="14">
        <v>122.566</v>
      </c>
      <c r="I9" s="36">
        <f>'Distance Score'!D9</f>
        <v>4.33</v>
      </c>
    </row>
    <row r="10" spans="1:9" x14ac:dyDescent="0.25">
      <c r="A10" s="4">
        <v>7</v>
      </c>
      <c r="B10" s="5" t="s">
        <v>25</v>
      </c>
      <c r="C10" s="11">
        <v>31.225000000000001</v>
      </c>
      <c r="D10" s="11">
        <v>17.664000000000001</v>
      </c>
      <c r="E10" s="11">
        <v>35.884999999999998</v>
      </c>
      <c r="F10" s="11">
        <v>69.628</v>
      </c>
      <c r="G10" s="11">
        <v>12.874000000000001</v>
      </c>
      <c r="H10" s="12">
        <v>167.27600000000001</v>
      </c>
      <c r="I10" s="36">
        <f>'Distance Score'!D10</f>
        <v>17.664000000000001</v>
      </c>
    </row>
    <row r="11" spans="1:9" x14ac:dyDescent="0.25">
      <c r="A11" s="1">
        <v>8</v>
      </c>
      <c r="B11" s="2" t="s">
        <v>26</v>
      </c>
      <c r="C11" s="13">
        <v>52.856000000000002</v>
      </c>
      <c r="D11" s="13">
        <v>4.33</v>
      </c>
      <c r="E11" s="13">
        <v>29.9</v>
      </c>
      <c r="F11" s="13">
        <v>44.707000000000001</v>
      </c>
      <c r="G11" s="13">
        <v>44.158999999999999</v>
      </c>
      <c r="H11" s="14">
        <v>175.952</v>
      </c>
    </row>
    <row r="12" spans="1:9" x14ac:dyDescent="0.25">
      <c r="A12" s="4">
        <v>9</v>
      </c>
      <c r="B12" s="5" t="s">
        <v>27</v>
      </c>
      <c r="C12" s="11">
        <v>57.183999999999997</v>
      </c>
      <c r="D12" s="11">
        <v>55.533999999999999</v>
      </c>
      <c r="E12" s="11">
        <v>7.3479999999999999</v>
      </c>
      <c r="F12" s="11">
        <v>44.707000000000001</v>
      </c>
      <c r="G12" s="11">
        <v>62.094999999999999</v>
      </c>
      <c r="H12" s="12">
        <v>226.86799999999999</v>
      </c>
    </row>
    <row r="13" spans="1:9" x14ac:dyDescent="0.25">
      <c r="A13" s="1">
        <v>10</v>
      </c>
      <c r="B13" s="2" t="s">
        <v>28</v>
      </c>
      <c r="C13" s="13">
        <v>61.512</v>
      </c>
      <c r="D13" s="13">
        <v>40.85</v>
      </c>
      <c r="E13" s="13">
        <v>56.530999999999999</v>
      </c>
      <c r="F13" s="13">
        <v>42.143000000000001</v>
      </c>
      <c r="G13" s="13">
        <v>9.327</v>
      </c>
      <c r="H13" s="14">
        <v>210.363</v>
      </c>
    </row>
    <row r="14" spans="1:9" x14ac:dyDescent="0.25">
      <c r="A14" s="4">
        <v>11</v>
      </c>
      <c r="B14" s="5" t="s">
        <v>29</v>
      </c>
      <c r="C14" s="11">
        <v>37.279000000000003</v>
      </c>
      <c r="D14" s="11">
        <v>14.282999999999999</v>
      </c>
      <c r="E14" s="11">
        <v>38.457999999999998</v>
      </c>
      <c r="F14" s="11">
        <v>67.903999999999996</v>
      </c>
      <c r="G14" s="11">
        <v>17.081</v>
      </c>
      <c r="H14" s="12">
        <v>175.005</v>
      </c>
    </row>
    <row r="15" spans="1:9" x14ac:dyDescent="0.25">
      <c r="A15" s="1">
        <v>12</v>
      </c>
      <c r="B15" s="2" t="s">
        <v>30</v>
      </c>
      <c r="C15" s="13">
        <v>27.766999999999999</v>
      </c>
      <c r="D15" s="13">
        <v>26.210999999999999</v>
      </c>
      <c r="E15" s="13">
        <v>53.082000000000001</v>
      </c>
      <c r="F15" s="13">
        <v>37.878</v>
      </c>
      <c r="G15" s="13">
        <v>65.527000000000001</v>
      </c>
      <c r="H15" s="14">
        <v>210.465</v>
      </c>
    </row>
    <row r="16" spans="1:9" x14ac:dyDescent="0.25">
      <c r="A16" s="4">
        <v>13</v>
      </c>
      <c r="B16" s="5" t="s">
        <v>31</v>
      </c>
      <c r="C16" s="11">
        <v>20.856999999999999</v>
      </c>
      <c r="D16" s="11">
        <v>45.165999999999997</v>
      </c>
      <c r="E16" s="11">
        <v>18.082999999999998</v>
      </c>
      <c r="F16" s="11">
        <v>18.655000000000001</v>
      </c>
      <c r="G16" s="11">
        <v>8.8320000000000007</v>
      </c>
      <c r="H16" s="12">
        <v>111.593</v>
      </c>
    </row>
    <row r="17" spans="1:8" x14ac:dyDescent="0.25">
      <c r="A17" s="1">
        <v>14</v>
      </c>
      <c r="B17" s="2" t="s">
        <v>32</v>
      </c>
      <c r="C17" s="13">
        <v>34.683999999999997</v>
      </c>
      <c r="D17" s="13">
        <v>19.364999999999998</v>
      </c>
      <c r="E17" s="13">
        <v>43.612000000000002</v>
      </c>
      <c r="F17" s="13">
        <v>12.49</v>
      </c>
      <c r="G17" s="13">
        <v>68.102999999999994</v>
      </c>
      <c r="H17" s="14">
        <v>178.25399999999999</v>
      </c>
    </row>
    <row r="18" spans="1:8" x14ac:dyDescent="0.25">
      <c r="A18" s="4">
        <v>15</v>
      </c>
      <c r="B18" s="5" t="s">
        <v>33</v>
      </c>
      <c r="C18" s="11">
        <v>68.438000000000002</v>
      </c>
      <c r="D18" s="11">
        <v>6.2450000000000001</v>
      </c>
      <c r="E18" s="11">
        <v>40.174999999999997</v>
      </c>
      <c r="F18" s="11">
        <v>7.141</v>
      </c>
      <c r="G18" s="11">
        <v>40.768000000000001</v>
      </c>
      <c r="H18" s="12">
        <v>162.767</v>
      </c>
    </row>
    <row r="19" spans="1:8" x14ac:dyDescent="0.25">
      <c r="A19" s="1">
        <v>16</v>
      </c>
      <c r="B19" s="2" t="s">
        <v>34</v>
      </c>
      <c r="C19" s="13">
        <v>61.512</v>
      </c>
      <c r="D19" s="13">
        <v>49.484999999999999</v>
      </c>
      <c r="E19" s="13">
        <v>56.530999999999999</v>
      </c>
      <c r="F19" s="13">
        <v>37.878</v>
      </c>
      <c r="G19" s="13">
        <v>44.158999999999999</v>
      </c>
      <c r="H19" s="14">
        <v>249.565</v>
      </c>
    </row>
    <row r="20" spans="1:8" x14ac:dyDescent="0.25">
      <c r="A20" s="4">
        <v>17</v>
      </c>
      <c r="B20" s="5" t="s">
        <v>35</v>
      </c>
      <c r="C20" s="11">
        <v>27.766999999999999</v>
      </c>
      <c r="D20" s="11">
        <v>10.137</v>
      </c>
      <c r="E20" s="11">
        <v>31.606999999999999</v>
      </c>
      <c r="F20" s="11">
        <v>64.459000000000003</v>
      </c>
      <c r="G20" s="11">
        <v>38.232999999999997</v>
      </c>
      <c r="H20" s="12">
        <v>172.203</v>
      </c>
    </row>
    <row r="21" spans="1:8" x14ac:dyDescent="0.25">
      <c r="A21" s="1">
        <v>18</v>
      </c>
      <c r="B21" s="2" t="s">
        <v>36</v>
      </c>
      <c r="C21" s="13">
        <v>37.279000000000003</v>
      </c>
      <c r="D21" s="13">
        <v>55.533999999999999</v>
      </c>
      <c r="E21" s="13">
        <v>14.798999999999999</v>
      </c>
      <c r="F21" s="13">
        <v>53.28</v>
      </c>
      <c r="G21" s="13">
        <v>21.72</v>
      </c>
      <c r="H21" s="14">
        <v>182.61199999999999</v>
      </c>
    </row>
    <row r="22" spans="1:8" x14ac:dyDescent="0.25">
      <c r="A22" s="4">
        <v>19</v>
      </c>
      <c r="B22" s="5" t="s">
        <v>37</v>
      </c>
      <c r="C22" s="11">
        <v>4.6639999999999997</v>
      </c>
      <c r="D22" s="11">
        <v>7.7460000000000004</v>
      </c>
      <c r="E22" s="11">
        <v>62.57</v>
      </c>
      <c r="F22" s="11">
        <v>20.273</v>
      </c>
      <c r="G22" s="11">
        <v>24.125</v>
      </c>
      <c r="H22" s="12">
        <v>119.378</v>
      </c>
    </row>
    <row r="23" spans="1:8" x14ac:dyDescent="0.25">
      <c r="A23" s="1">
        <v>20</v>
      </c>
      <c r="B23" s="2" t="s">
        <v>38</v>
      </c>
      <c r="C23" s="13">
        <v>52.856000000000002</v>
      </c>
      <c r="D23" s="13">
        <v>26.210999999999999</v>
      </c>
      <c r="E23" s="13">
        <v>10.1</v>
      </c>
      <c r="F23" s="13">
        <v>59.295999999999999</v>
      </c>
      <c r="G23" s="13">
        <v>55.243000000000002</v>
      </c>
      <c r="H23" s="14">
        <v>203.70599999999999</v>
      </c>
    </row>
    <row r="24" spans="1:8" x14ac:dyDescent="0.25">
      <c r="A24" s="4">
        <v>21</v>
      </c>
      <c r="B24" s="5" t="s">
        <v>39</v>
      </c>
      <c r="C24" s="11">
        <v>27.766999999999999</v>
      </c>
      <c r="D24" s="11">
        <v>40.85</v>
      </c>
      <c r="E24" s="11">
        <v>35.884999999999998</v>
      </c>
      <c r="F24" s="11">
        <v>15.492000000000001</v>
      </c>
      <c r="G24" s="11">
        <v>21.72</v>
      </c>
      <c r="H24" s="12">
        <v>141.714</v>
      </c>
    </row>
    <row r="25" spans="1:8" x14ac:dyDescent="0.25">
      <c r="A25" s="1">
        <v>22</v>
      </c>
      <c r="B25" s="2" t="s">
        <v>40</v>
      </c>
      <c r="C25" s="13">
        <v>20.856999999999999</v>
      </c>
      <c r="D25" s="13">
        <v>49.484999999999999</v>
      </c>
      <c r="E25" s="13">
        <v>12.4</v>
      </c>
      <c r="F25" s="13">
        <v>48.133000000000003</v>
      </c>
      <c r="G25" s="13">
        <v>10.1</v>
      </c>
      <c r="H25" s="14">
        <v>140.97499999999999</v>
      </c>
    </row>
    <row r="26" spans="1:8" x14ac:dyDescent="0.25">
      <c r="A26" s="4">
        <v>23</v>
      </c>
      <c r="B26" s="5" t="s">
        <v>41</v>
      </c>
      <c r="C26" s="11">
        <v>64.974999999999994</v>
      </c>
      <c r="D26" s="11">
        <v>49.484999999999999</v>
      </c>
      <c r="E26" s="11">
        <v>64.296000000000006</v>
      </c>
      <c r="F26" s="11">
        <v>48.133000000000003</v>
      </c>
      <c r="G26" s="11">
        <v>33.192999999999998</v>
      </c>
      <c r="H26" s="12">
        <v>260.08199999999999</v>
      </c>
    </row>
    <row r="27" spans="1:8" x14ac:dyDescent="0.25">
      <c r="A27" s="1">
        <v>24</v>
      </c>
      <c r="B27" s="2" t="s">
        <v>42</v>
      </c>
      <c r="C27" s="13">
        <v>41.604999999999997</v>
      </c>
      <c r="D27" s="13">
        <v>65.909000000000006</v>
      </c>
      <c r="E27" s="13">
        <v>41.893000000000001</v>
      </c>
      <c r="F27" s="13">
        <v>23.558</v>
      </c>
      <c r="G27" s="13">
        <v>19.364999999999998</v>
      </c>
      <c r="H27" s="14">
        <v>192.33</v>
      </c>
    </row>
    <row r="28" spans="1:8" x14ac:dyDescent="0.25">
      <c r="A28" s="4">
        <v>25</v>
      </c>
      <c r="B28" s="5" t="s">
        <v>43</v>
      </c>
      <c r="C28" s="11">
        <v>39.875</v>
      </c>
      <c r="D28" s="11">
        <v>55.533999999999999</v>
      </c>
      <c r="E28" s="11">
        <v>16.431999999999999</v>
      </c>
      <c r="F28" s="11">
        <v>31.093</v>
      </c>
      <c r="G28" s="11">
        <v>33.192999999999998</v>
      </c>
      <c r="H28" s="12">
        <v>176.12700000000001</v>
      </c>
    </row>
    <row r="29" spans="1:8" x14ac:dyDescent="0.25">
      <c r="A29" s="1">
        <v>26</v>
      </c>
      <c r="B29" s="2" t="s">
        <v>44</v>
      </c>
      <c r="C29" s="13">
        <v>10.536</v>
      </c>
      <c r="D29" s="13">
        <v>33.951999999999998</v>
      </c>
      <c r="E29" s="13">
        <v>47.052999999999997</v>
      </c>
      <c r="F29" s="13">
        <v>56.716000000000001</v>
      </c>
      <c r="G29" s="13">
        <v>57.81</v>
      </c>
      <c r="H29" s="14">
        <v>206.06700000000001</v>
      </c>
    </row>
    <row r="30" spans="1:8" x14ac:dyDescent="0.25">
      <c r="A30" s="4">
        <v>27</v>
      </c>
      <c r="B30" s="5" t="s">
        <v>45</v>
      </c>
      <c r="C30" s="11">
        <v>45.932000000000002</v>
      </c>
      <c r="D30" s="11">
        <v>21.071000000000002</v>
      </c>
      <c r="E30" s="11">
        <v>23.952999999999999</v>
      </c>
      <c r="F30" s="11">
        <v>56.716000000000001</v>
      </c>
      <c r="G30" s="11">
        <v>14.9</v>
      </c>
      <c r="H30" s="12">
        <v>162.572</v>
      </c>
    </row>
    <row r="31" spans="1:8" x14ac:dyDescent="0.25">
      <c r="A31" s="1">
        <v>28</v>
      </c>
      <c r="B31" s="2" t="s">
        <v>46</v>
      </c>
      <c r="C31" s="13">
        <v>17.407</v>
      </c>
      <c r="D31" s="13">
        <v>37.4</v>
      </c>
      <c r="E31" s="13">
        <v>21.423999999999999</v>
      </c>
      <c r="F31" s="13">
        <v>35.326999999999998</v>
      </c>
      <c r="G31" s="13">
        <v>38.232999999999997</v>
      </c>
      <c r="H31" s="14">
        <v>149.791</v>
      </c>
    </row>
    <row r="32" spans="1:8" x14ac:dyDescent="0.25">
      <c r="A32" s="4">
        <v>29</v>
      </c>
      <c r="B32" s="5" t="s">
        <v>47</v>
      </c>
      <c r="C32" s="11">
        <v>48.527999999999999</v>
      </c>
      <c r="D32" s="11">
        <v>60.720999999999997</v>
      </c>
      <c r="E32" s="11">
        <v>26.495000000000001</v>
      </c>
      <c r="F32" s="11">
        <v>31.093</v>
      </c>
      <c r="G32" s="11">
        <v>65.527000000000001</v>
      </c>
      <c r="H32" s="12">
        <v>232.364</v>
      </c>
    </row>
    <row r="33" spans="1:8" x14ac:dyDescent="0.25">
      <c r="A33" s="1">
        <v>30</v>
      </c>
      <c r="B33" s="2" t="s">
        <v>48</v>
      </c>
      <c r="C33" s="13">
        <v>64.974999999999994</v>
      </c>
      <c r="D33" s="13">
        <v>63.314999999999998</v>
      </c>
      <c r="E33" s="13">
        <v>47.052999999999997</v>
      </c>
      <c r="F33" s="13">
        <v>15.492000000000001</v>
      </c>
      <c r="G33" s="13">
        <v>55.243000000000002</v>
      </c>
      <c r="H33" s="14">
        <v>246.078</v>
      </c>
    </row>
    <row r="34" spans="1:8" x14ac:dyDescent="0.25">
      <c r="A34" s="4">
        <v>31</v>
      </c>
      <c r="B34" s="5" t="s">
        <v>49</v>
      </c>
      <c r="C34" s="11">
        <v>4.6639999999999997</v>
      </c>
      <c r="D34" s="11">
        <v>37.4</v>
      </c>
      <c r="E34" s="11">
        <v>19.748000000000001</v>
      </c>
      <c r="F34" s="11">
        <v>66.182000000000002</v>
      </c>
      <c r="G34" s="11">
        <v>35.707000000000001</v>
      </c>
      <c r="H34" s="12">
        <v>163.70099999999999</v>
      </c>
    </row>
    <row r="35" spans="1:8" x14ac:dyDescent="0.25">
      <c r="A35" s="1">
        <v>32</v>
      </c>
      <c r="B35" s="2" t="s">
        <v>50</v>
      </c>
      <c r="C35" s="13">
        <v>32.954999999999998</v>
      </c>
      <c r="D35" s="13">
        <v>14.282999999999999</v>
      </c>
      <c r="E35" s="13">
        <v>28.196000000000002</v>
      </c>
      <c r="F35" s="13">
        <v>27.725999999999999</v>
      </c>
      <c r="G35" s="13">
        <v>47.56</v>
      </c>
      <c r="H35" s="14">
        <v>150.72</v>
      </c>
    </row>
    <row r="36" spans="1:8" x14ac:dyDescent="0.25">
      <c r="A36" s="4">
        <v>33</v>
      </c>
      <c r="B36" s="5" t="s">
        <v>51</v>
      </c>
      <c r="C36" s="11">
        <v>20.856999999999999</v>
      </c>
      <c r="D36" s="11">
        <v>69.369</v>
      </c>
      <c r="E36" s="11">
        <v>12.4</v>
      </c>
      <c r="F36" s="11">
        <v>10.428000000000001</v>
      </c>
      <c r="G36" s="11">
        <v>59.523000000000003</v>
      </c>
      <c r="H36" s="12">
        <v>172.577</v>
      </c>
    </row>
    <row r="37" spans="1:8" x14ac:dyDescent="0.25">
      <c r="A37" s="1">
        <v>34</v>
      </c>
      <c r="B37" s="2" t="s">
        <v>52</v>
      </c>
      <c r="C37" s="13">
        <v>4.6639999999999997</v>
      </c>
      <c r="D37" s="13">
        <v>26.210999999999999</v>
      </c>
      <c r="E37" s="13">
        <v>7.3479999999999999</v>
      </c>
      <c r="F37" s="13">
        <v>53.28</v>
      </c>
      <c r="G37" s="13">
        <v>11.090999999999999</v>
      </c>
      <c r="H37" s="14">
        <v>102.59399999999999</v>
      </c>
    </row>
    <row r="38" spans="1:8" x14ac:dyDescent="0.25">
      <c r="A38" s="4">
        <v>35</v>
      </c>
      <c r="B38" s="5" t="s">
        <v>53</v>
      </c>
      <c r="C38" s="11">
        <v>10.536</v>
      </c>
      <c r="D38" s="11">
        <v>43.44</v>
      </c>
      <c r="E38" s="11">
        <v>53.082000000000001</v>
      </c>
      <c r="F38" s="11">
        <v>50.704999999999998</v>
      </c>
      <c r="G38" s="11">
        <v>29.861999999999998</v>
      </c>
      <c r="H38" s="12">
        <v>187.625</v>
      </c>
    </row>
    <row r="39" spans="1:8" x14ac:dyDescent="0.25">
      <c r="A39" s="1">
        <v>36</v>
      </c>
      <c r="B39" s="2" t="s">
        <v>54</v>
      </c>
      <c r="C39" s="13">
        <v>52.856000000000002</v>
      </c>
      <c r="D39" s="13">
        <v>33.951999999999998</v>
      </c>
      <c r="E39" s="13">
        <v>69.477000000000004</v>
      </c>
      <c r="F39" s="13">
        <v>10.428000000000001</v>
      </c>
      <c r="G39" s="13">
        <v>17.081</v>
      </c>
      <c r="H39" s="14">
        <v>183.79400000000001</v>
      </c>
    </row>
    <row r="40" spans="1:8" x14ac:dyDescent="0.25">
      <c r="A40" s="4">
        <v>37</v>
      </c>
      <c r="B40" s="5" t="s">
        <v>55</v>
      </c>
      <c r="C40" s="11">
        <v>43.335999999999999</v>
      </c>
      <c r="D40" s="11">
        <v>31.369</v>
      </c>
      <c r="E40" s="11">
        <v>7.3479999999999999</v>
      </c>
      <c r="F40" s="11">
        <v>62.738</v>
      </c>
      <c r="G40" s="11">
        <v>26.565999999999999</v>
      </c>
      <c r="H40" s="12">
        <v>171.357</v>
      </c>
    </row>
    <row r="41" spans="1:8" x14ac:dyDescent="0.25">
      <c r="A41" s="1">
        <v>38</v>
      </c>
      <c r="B41" s="2" t="s">
        <v>56</v>
      </c>
      <c r="C41" s="13">
        <v>58.914999999999999</v>
      </c>
      <c r="D41" s="13">
        <v>10.137</v>
      </c>
      <c r="E41" s="13">
        <v>33.317</v>
      </c>
      <c r="F41" s="13">
        <v>15.492000000000001</v>
      </c>
      <c r="G41" s="13">
        <v>26.565999999999999</v>
      </c>
      <c r="H41" s="14">
        <v>144.42699999999999</v>
      </c>
    </row>
    <row r="42" spans="1:8" x14ac:dyDescent="0.25">
      <c r="A42" s="4">
        <v>39</v>
      </c>
      <c r="B42" s="5" t="s">
        <v>57</v>
      </c>
      <c r="C42" s="11">
        <v>15.683999999999999</v>
      </c>
      <c r="D42" s="11">
        <v>58.991999999999997</v>
      </c>
      <c r="E42" s="11">
        <v>47.052999999999997</v>
      </c>
      <c r="F42" s="11">
        <v>40.435000000000002</v>
      </c>
      <c r="G42" s="11">
        <v>12.874000000000001</v>
      </c>
      <c r="H42" s="12">
        <v>175.03800000000001</v>
      </c>
    </row>
    <row r="43" spans="1:8" x14ac:dyDescent="0.25">
      <c r="A43" s="1">
        <v>40</v>
      </c>
      <c r="B43" s="2" t="s">
        <v>58</v>
      </c>
      <c r="C43" s="13">
        <v>52.856000000000002</v>
      </c>
      <c r="D43" s="13">
        <v>26.210999999999999</v>
      </c>
      <c r="E43" s="13">
        <v>5.4770000000000003</v>
      </c>
      <c r="F43" s="13">
        <v>27.725999999999999</v>
      </c>
      <c r="G43" s="13">
        <v>69.820999999999998</v>
      </c>
      <c r="H43" s="14">
        <v>182.09100000000001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abSelected="1" topLeftCell="A20" zoomScaleNormal="100" workbookViewId="0">
      <selection sqref="A1:D1"/>
    </sheetView>
  </sheetViews>
  <sheetFormatPr defaultColWidth="8.7109375" defaultRowHeight="15" x14ac:dyDescent="0.25"/>
  <cols>
    <col min="1" max="1" width="12" customWidth="1"/>
    <col min="2" max="2" width="18" customWidth="1"/>
    <col min="3" max="3" width="26" customWidth="1"/>
    <col min="4" max="4" width="24" customWidth="1"/>
  </cols>
  <sheetData>
    <row r="1" spans="1:4" ht="27.75" customHeight="1" x14ac:dyDescent="0.25">
      <c r="A1" s="37" t="s">
        <v>77</v>
      </c>
      <c r="B1" s="37"/>
      <c r="C1" s="37"/>
      <c r="D1" s="37"/>
    </row>
    <row r="2" spans="1:4" x14ac:dyDescent="0.25">
      <c r="A2" s="27" t="s">
        <v>78</v>
      </c>
      <c r="B2" s="27" t="s">
        <v>13</v>
      </c>
      <c r="C2" s="27" t="s">
        <v>79</v>
      </c>
      <c r="D2" s="27" t="s">
        <v>80</v>
      </c>
    </row>
    <row r="3" spans="1:4" x14ac:dyDescent="0.25">
      <c r="A3" s="15">
        <v>1</v>
      </c>
      <c r="B3" s="16" t="s">
        <v>52</v>
      </c>
      <c r="C3" s="17">
        <v>102.59399999999999</v>
      </c>
      <c r="D3" s="16" t="s">
        <v>81</v>
      </c>
    </row>
    <row r="4" spans="1:4" x14ac:dyDescent="0.25">
      <c r="A4" s="18">
        <v>2</v>
      </c>
      <c r="B4" s="19" t="s">
        <v>31</v>
      </c>
      <c r="C4" s="20">
        <v>111.593</v>
      </c>
      <c r="D4" s="19"/>
    </row>
    <row r="5" spans="1:4" x14ac:dyDescent="0.25">
      <c r="A5" s="21">
        <v>3</v>
      </c>
      <c r="B5" s="22" t="s">
        <v>37</v>
      </c>
      <c r="C5" s="23">
        <v>119.378</v>
      </c>
      <c r="D5" s="22"/>
    </row>
    <row r="6" spans="1:4" x14ac:dyDescent="0.25">
      <c r="A6" s="24">
        <v>4</v>
      </c>
      <c r="B6" s="25" t="s">
        <v>24</v>
      </c>
      <c r="C6" s="26">
        <v>122.566</v>
      </c>
      <c r="D6" s="25"/>
    </row>
    <row r="7" spans="1:4" x14ac:dyDescent="0.25">
      <c r="A7" s="24">
        <v>5</v>
      </c>
      <c r="B7" s="25" t="s">
        <v>40</v>
      </c>
      <c r="C7" s="26">
        <v>140.97499999999999</v>
      </c>
      <c r="D7" s="25"/>
    </row>
    <row r="8" spans="1:4" x14ac:dyDescent="0.25">
      <c r="A8" s="24">
        <v>6</v>
      </c>
      <c r="B8" s="25" t="s">
        <v>39</v>
      </c>
      <c r="C8" s="26">
        <v>141.714</v>
      </c>
      <c r="D8" s="25"/>
    </row>
    <row r="9" spans="1:4" x14ac:dyDescent="0.25">
      <c r="A9" s="24">
        <v>7</v>
      </c>
      <c r="B9" s="25" t="s">
        <v>21</v>
      </c>
      <c r="C9" s="26">
        <v>142.62700000000001</v>
      </c>
      <c r="D9" s="25"/>
    </row>
    <row r="10" spans="1:4" x14ac:dyDescent="0.25">
      <c r="A10" s="24">
        <v>8</v>
      </c>
      <c r="B10" s="25" t="s">
        <v>56</v>
      </c>
      <c r="C10" s="26">
        <v>144.42699999999999</v>
      </c>
      <c r="D10" s="25"/>
    </row>
    <row r="11" spans="1:4" x14ac:dyDescent="0.25">
      <c r="A11" s="24">
        <v>9</v>
      </c>
      <c r="B11" s="25" t="s">
        <v>46</v>
      </c>
      <c r="C11" s="26">
        <v>149.791</v>
      </c>
      <c r="D11" s="25"/>
    </row>
    <row r="12" spans="1:4" x14ac:dyDescent="0.25">
      <c r="A12" s="24">
        <v>10</v>
      </c>
      <c r="B12" s="25" t="s">
        <v>50</v>
      </c>
      <c r="C12" s="26">
        <v>150.72</v>
      </c>
      <c r="D12" s="25"/>
    </row>
    <row r="13" spans="1:4" x14ac:dyDescent="0.25">
      <c r="A13" s="4">
        <v>11</v>
      </c>
      <c r="B13" s="5" t="s">
        <v>45</v>
      </c>
      <c r="C13" s="11">
        <v>162.572</v>
      </c>
      <c r="D13" s="5"/>
    </row>
    <row r="14" spans="1:4" x14ac:dyDescent="0.25">
      <c r="A14" s="4">
        <v>12</v>
      </c>
      <c r="B14" s="5" t="s">
        <v>33</v>
      </c>
      <c r="C14" s="11">
        <v>162.767</v>
      </c>
      <c r="D14" s="5"/>
    </row>
    <row r="15" spans="1:4" x14ac:dyDescent="0.25">
      <c r="A15" s="4">
        <v>13</v>
      </c>
      <c r="B15" s="5" t="s">
        <v>49</v>
      </c>
      <c r="C15" s="11">
        <v>163.70099999999999</v>
      </c>
      <c r="D15" s="5"/>
    </row>
    <row r="16" spans="1:4" x14ac:dyDescent="0.25">
      <c r="A16" s="4">
        <v>14</v>
      </c>
      <c r="B16" s="5" t="s">
        <v>25</v>
      </c>
      <c r="C16" s="11">
        <v>167.27600000000001</v>
      </c>
      <c r="D16" s="5"/>
    </row>
    <row r="17" spans="1:4" x14ac:dyDescent="0.25">
      <c r="A17" s="4">
        <v>15</v>
      </c>
      <c r="B17" s="5" t="s">
        <v>55</v>
      </c>
      <c r="C17" s="11">
        <v>171.357</v>
      </c>
      <c r="D17" s="5"/>
    </row>
    <row r="18" spans="1:4" x14ac:dyDescent="0.25">
      <c r="A18" s="4">
        <v>16</v>
      </c>
      <c r="B18" s="5" t="s">
        <v>35</v>
      </c>
      <c r="C18" s="11">
        <v>172.203</v>
      </c>
      <c r="D18" s="5"/>
    </row>
    <row r="19" spans="1:4" x14ac:dyDescent="0.25">
      <c r="A19" s="4">
        <v>17</v>
      </c>
      <c r="B19" s="5" t="s">
        <v>51</v>
      </c>
      <c r="C19" s="11">
        <v>172.577</v>
      </c>
      <c r="D19" s="5"/>
    </row>
    <row r="20" spans="1:4" x14ac:dyDescent="0.25">
      <c r="A20" s="4">
        <v>18</v>
      </c>
      <c r="B20" s="5" t="s">
        <v>29</v>
      </c>
      <c r="C20" s="11">
        <v>175.005</v>
      </c>
      <c r="D20" s="5"/>
    </row>
    <row r="21" spans="1:4" x14ac:dyDescent="0.25">
      <c r="A21" s="4">
        <v>19</v>
      </c>
      <c r="B21" s="5" t="s">
        <v>57</v>
      </c>
      <c r="C21" s="11">
        <v>175.03800000000001</v>
      </c>
      <c r="D21" s="5"/>
    </row>
    <row r="22" spans="1:4" x14ac:dyDescent="0.25">
      <c r="A22" s="4">
        <v>20</v>
      </c>
      <c r="B22" s="5" t="s">
        <v>26</v>
      </c>
      <c r="C22" s="11">
        <v>175.952</v>
      </c>
      <c r="D22" s="5"/>
    </row>
    <row r="23" spans="1:4" x14ac:dyDescent="0.25">
      <c r="A23" s="1">
        <v>21</v>
      </c>
      <c r="B23" s="2" t="s">
        <v>43</v>
      </c>
      <c r="C23" s="13">
        <v>176.12700000000001</v>
      </c>
      <c r="D23" s="2"/>
    </row>
    <row r="24" spans="1:4" x14ac:dyDescent="0.25">
      <c r="A24" s="1">
        <v>22</v>
      </c>
      <c r="B24" s="2" t="s">
        <v>32</v>
      </c>
      <c r="C24" s="13">
        <v>178.25399999999999</v>
      </c>
      <c r="D24" s="2"/>
    </row>
    <row r="25" spans="1:4" x14ac:dyDescent="0.25">
      <c r="A25" s="1">
        <v>23</v>
      </c>
      <c r="B25" s="2" t="s">
        <v>58</v>
      </c>
      <c r="C25" s="13">
        <v>182.09100000000001</v>
      </c>
      <c r="D25" s="2"/>
    </row>
    <row r="26" spans="1:4" x14ac:dyDescent="0.25">
      <c r="A26" s="1">
        <v>24</v>
      </c>
      <c r="B26" s="2" t="s">
        <v>36</v>
      </c>
      <c r="C26" s="13">
        <v>182.61199999999999</v>
      </c>
      <c r="D26" s="2"/>
    </row>
    <row r="27" spans="1:4" x14ac:dyDescent="0.25">
      <c r="A27" s="1">
        <v>25</v>
      </c>
      <c r="B27" s="2" t="s">
        <v>23</v>
      </c>
      <c r="C27" s="13">
        <v>183.376</v>
      </c>
      <c r="D27" s="2"/>
    </row>
    <row r="28" spans="1:4" x14ac:dyDescent="0.25">
      <c r="A28" s="1">
        <v>26</v>
      </c>
      <c r="B28" s="2" t="s">
        <v>54</v>
      </c>
      <c r="C28" s="13">
        <v>183.79400000000001</v>
      </c>
      <c r="D28" s="2"/>
    </row>
    <row r="29" spans="1:4" x14ac:dyDescent="0.25">
      <c r="A29" s="1">
        <v>27</v>
      </c>
      <c r="B29" s="2" t="s">
        <v>53</v>
      </c>
      <c r="C29" s="13">
        <v>187.625</v>
      </c>
      <c r="D29" s="2"/>
    </row>
    <row r="30" spans="1:4" x14ac:dyDescent="0.25">
      <c r="A30" s="1">
        <v>28</v>
      </c>
      <c r="B30" s="2" t="s">
        <v>42</v>
      </c>
      <c r="C30" s="13">
        <v>192.33</v>
      </c>
      <c r="D30" s="2"/>
    </row>
    <row r="31" spans="1:4" x14ac:dyDescent="0.25">
      <c r="A31" s="1">
        <v>29</v>
      </c>
      <c r="B31" s="2" t="s">
        <v>19</v>
      </c>
      <c r="C31" s="13">
        <v>196.494</v>
      </c>
      <c r="D31" s="2"/>
    </row>
    <row r="32" spans="1:4" x14ac:dyDescent="0.25">
      <c r="A32" s="1">
        <v>30</v>
      </c>
      <c r="B32" s="2" t="s">
        <v>38</v>
      </c>
      <c r="C32" s="13">
        <v>203.70599999999999</v>
      </c>
      <c r="D32" s="2"/>
    </row>
    <row r="33" spans="1:4" x14ac:dyDescent="0.25">
      <c r="A33" s="1">
        <v>31</v>
      </c>
      <c r="B33" s="2" t="s">
        <v>44</v>
      </c>
      <c r="C33" s="13">
        <v>206.06700000000001</v>
      </c>
      <c r="D33" s="2"/>
    </row>
    <row r="34" spans="1:4" x14ac:dyDescent="0.25">
      <c r="A34" s="1">
        <v>32</v>
      </c>
      <c r="B34" s="2" t="s">
        <v>28</v>
      </c>
      <c r="C34" s="13">
        <v>210.363</v>
      </c>
      <c r="D34" s="2"/>
    </row>
    <row r="35" spans="1:4" x14ac:dyDescent="0.25">
      <c r="A35" s="1">
        <v>33</v>
      </c>
      <c r="B35" s="2" t="s">
        <v>30</v>
      </c>
      <c r="C35" s="13">
        <v>210.465</v>
      </c>
      <c r="D35" s="2"/>
    </row>
    <row r="36" spans="1:4" x14ac:dyDescent="0.25">
      <c r="A36" s="1">
        <v>34</v>
      </c>
      <c r="B36" s="2" t="s">
        <v>20</v>
      </c>
      <c r="C36" s="13">
        <v>216.18</v>
      </c>
      <c r="D36" s="2"/>
    </row>
    <row r="37" spans="1:4" x14ac:dyDescent="0.25">
      <c r="A37" s="1">
        <v>35</v>
      </c>
      <c r="B37" s="2" t="s">
        <v>27</v>
      </c>
      <c r="C37" s="13">
        <v>226.86799999999999</v>
      </c>
      <c r="D37" s="2"/>
    </row>
    <row r="38" spans="1:4" x14ac:dyDescent="0.25">
      <c r="A38" s="1">
        <v>36</v>
      </c>
      <c r="B38" s="2" t="s">
        <v>47</v>
      </c>
      <c r="C38" s="13">
        <v>232.364</v>
      </c>
      <c r="D38" s="2"/>
    </row>
    <row r="39" spans="1:4" x14ac:dyDescent="0.25">
      <c r="A39" s="1">
        <v>37</v>
      </c>
      <c r="B39" s="2" t="s">
        <v>48</v>
      </c>
      <c r="C39" s="13">
        <v>246.078</v>
      </c>
      <c r="D39" s="2"/>
    </row>
    <row r="40" spans="1:4" x14ac:dyDescent="0.25">
      <c r="A40" s="1">
        <v>38</v>
      </c>
      <c r="B40" s="2" t="s">
        <v>34</v>
      </c>
      <c r="C40" s="13">
        <v>249.565</v>
      </c>
      <c r="D40" s="2"/>
    </row>
    <row r="41" spans="1:4" x14ac:dyDescent="0.25">
      <c r="A41" s="1">
        <v>39</v>
      </c>
      <c r="B41" s="2" t="s">
        <v>41</v>
      </c>
      <c r="C41" s="13">
        <v>260.08199999999999</v>
      </c>
      <c r="D41" s="2"/>
    </row>
    <row r="42" spans="1:4" x14ac:dyDescent="0.25">
      <c r="A42" s="1">
        <v>40</v>
      </c>
      <c r="B42" s="2" t="s">
        <v>22</v>
      </c>
      <c r="C42" s="13">
        <v>307.19099999999997</v>
      </c>
      <c r="D42" s="2" t="s">
        <v>82</v>
      </c>
    </row>
    <row r="44" spans="1:4" ht="19.5" customHeight="1" x14ac:dyDescent="0.25">
      <c r="A44" s="44" t="s">
        <v>83</v>
      </c>
      <c r="B44" s="44"/>
      <c r="C44" s="44"/>
      <c r="D44" s="44"/>
    </row>
  </sheetData>
  <mergeCells count="2">
    <mergeCell ref="A1:D1"/>
    <mergeCell ref="A44:D4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Bobot Kriteria</vt:lpstr>
      <vt:lpstr>Nilai Alternatif</vt:lpstr>
      <vt:lpstr>Besson Rank</vt:lpstr>
      <vt:lpstr>Normalisasi</vt:lpstr>
      <vt:lpstr>Distance Score</vt:lpstr>
      <vt:lpstr>Perankingan Akhir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2026-04-06T04:29:25Z</dcterms:created>
  <dcterms:modified xsi:type="dcterms:W3CDTF">2026-05-25T08:39:26Z</dcterms:modified>
  <dc:language>en-US</dc:language>
</cp:coreProperties>
</file>